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lliedunham/Desktop/Mayo Lab/Aim 1 - BTV Optimization/BTV_optimization/1. Optimization Writing/Figures/Final - Submit to BMC/"/>
    </mc:Choice>
  </mc:AlternateContent>
  <xr:revisionPtr revIDLastSave="0" documentId="13_ncr:1_{DA0533E2-4112-BB4B-BEDB-82AC2EC6994A}" xr6:coauthVersionLast="47" xr6:coauthVersionMax="47" xr10:uidLastSave="{00000000-0000-0000-0000-000000000000}"/>
  <bookViews>
    <workbookView xWindow="920" yWindow="500" windowWidth="27640" windowHeight="15940" activeTab="2" xr2:uid="{45108C02-30E9-E14C-8083-E46D63049D14}"/>
  </bookViews>
  <sheets>
    <sheet name="sample_prep_op_final" sheetId="4" r:id="rId1"/>
    <sheet name="lib_prep_op_final" sheetId="2" r:id="rId2"/>
    <sheet name="long_v_short_final" sheetId="5" r:id="rId3"/>
    <sheet name="long_v_short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5" l="1"/>
  <c r="C24" i="5"/>
  <c r="C23" i="5"/>
  <c r="D14" i="5"/>
  <c r="D17" i="5"/>
  <c r="C12" i="5"/>
  <c r="C11" i="5"/>
  <c r="C37" i="5"/>
  <c r="C36" i="5"/>
  <c r="C35" i="5"/>
  <c r="D32" i="5"/>
  <c r="D29" i="5"/>
  <c r="D26" i="5"/>
  <c r="C13" i="5"/>
  <c r="D8" i="5"/>
  <c r="D5" i="5"/>
  <c r="D2" i="5"/>
  <c r="E17" i="4"/>
  <c r="C44" i="5"/>
  <c r="D44" i="5" s="1"/>
  <c r="C46" i="5"/>
  <c r="C45" i="5"/>
  <c r="D41" i="5"/>
  <c r="D38" i="5"/>
  <c r="D20" i="5"/>
  <c r="D135" i="4"/>
  <c r="D134" i="4"/>
  <c r="D133" i="4"/>
  <c r="D106" i="4"/>
  <c r="D105" i="4"/>
  <c r="D104" i="4"/>
  <c r="D76" i="4"/>
  <c r="D75" i="4"/>
  <c r="D74" i="4"/>
  <c r="E44" i="4"/>
  <c r="D46" i="4"/>
  <c r="D45" i="4"/>
  <c r="D44" i="4"/>
  <c r="D14" i="4"/>
  <c r="C20" i="1"/>
  <c r="D20" i="1" s="1"/>
  <c r="D23" i="4"/>
  <c r="D17" i="1"/>
  <c r="C22" i="1"/>
  <c r="C21" i="1"/>
  <c r="D15" i="4"/>
  <c r="C11" i="1"/>
  <c r="D140" i="4"/>
  <c r="C41" i="1"/>
  <c r="D38" i="1"/>
  <c r="D23" i="5" l="1"/>
  <c r="D35" i="5"/>
  <c r="D11" i="5"/>
  <c r="E2" i="4"/>
  <c r="E5" i="4"/>
  <c r="E8" i="4"/>
  <c r="E11" i="4"/>
  <c r="D16" i="4"/>
  <c r="E20" i="4"/>
  <c r="D24" i="4"/>
  <c r="D25" i="4"/>
  <c r="E26" i="4"/>
  <c r="E29" i="4"/>
  <c r="E32" i="4"/>
  <c r="E35" i="4"/>
  <c r="E38" i="4"/>
  <c r="E41" i="4"/>
  <c r="E47" i="4"/>
  <c r="E50" i="4"/>
  <c r="D53" i="4"/>
  <c r="D54" i="4"/>
  <c r="D55" i="4"/>
  <c r="E56" i="4"/>
  <c r="E59" i="4"/>
  <c r="E62" i="4"/>
  <c r="E65" i="4"/>
  <c r="E68" i="4"/>
  <c r="E71" i="4"/>
  <c r="E77" i="4"/>
  <c r="E80" i="4"/>
  <c r="D83" i="4"/>
  <c r="D84" i="4"/>
  <c r="D85" i="4"/>
  <c r="E86" i="4"/>
  <c r="E89" i="4"/>
  <c r="E92" i="4"/>
  <c r="E95" i="4"/>
  <c r="E98" i="4"/>
  <c r="E101" i="4"/>
  <c r="E107" i="4"/>
  <c r="E110" i="4"/>
  <c r="D113" i="4"/>
  <c r="D114" i="4"/>
  <c r="E113" i="4" s="1"/>
  <c r="D115" i="4"/>
  <c r="E116" i="4"/>
  <c r="E119" i="4"/>
  <c r="E122" i="4"/>
  <c r="E125" i="4"/>
  <c r="E127" i="4"/>
  <c r="E130" i="4"/>
  <c r="E136" i="4"/>
  <c r="E138" i="4"/>
  <c r="D141" i="4"/>
  <c r="E140" i="4" s="1"/>
  <c r="E142" i="4"/>
  <c r="E145" i="4"/>
  <c r="E53" i="4" l="1"/>
  <c r="E104" i="4"/>
  <c r="E83" i="4"/>
  <c r="E133" i="4"/>
  <c r="E23" i="4"/>
  <c r="E14" i="4"/>
  <c r="E74" i="4"/>
  <c r="D11" i="2"/>
  <c r="D8" i="2"/>
  <c r="D5" i="2"/>
  <c r="D2" i="2"/>
  <c r="D14" i="1"/>
  <c r="D8" i="1"/>
  <c r="D5" i="1"/>
  <c r="D35" i="1"/>
  <c r="D29" i="1"/>
  <c r="D23" i="1"/>
  <c r="D26" i="1"/>
  <c r="D2" i="1"/>
  <c r="C34" i="1"/>
  <c r="C43" i="1"/>
  <c r="C33" i="1"/>
  <c r="C42" i="1"/>
  <c r="C12" i="1"/>
  <c r="C32" i="1"/>
  <c r="C13" i="1"/>
  <c r="D11" i="1" l="1"/>
  <c r="D32" i="1"/>
  <c r="D41" i="1"/>
</calcChain>
</file>

<file path=xl/sharedStrings.xml><?xml version="1.0" encoding="utf-8"?>
<sst xmlns="http://schemas.openxmlformats.org/spreadsheetml/2006/main" count="1030" uniqueCount="56">
  <si>
    <t>Sample</t>
  </si>
  <si>
    <t>Assay</t>
  </si>
  <si>
    <t>Nanopore</t>
  </si>
  <si>
    <t>Output</t>
  </si>
  <si>
    <t>Std_Deviation</t>
  </si>
  <si>
    <t>Replicate</t>
  </si>
  <si>
    <t>Group</t>
  </si>
  <si>
    <t>Illumina</t>
  </si>
  <si>
    <t xml:space="preserve">KF, w/CR, Turbo, KAPA </t>
  </si>
  <si>
    <t>KF,w/CR, Turbo, SISPA</t>
  </si>
  <si>
    <t>Qubit</t>
  </si>
  <si>
    <t>Percent Aligned</t>
  </si>
  <si>
    <t>Coverage</t>
  </si>
  <si>
    <t>Total Reads</t>
  </si>
  <si>
    <t>Normalized Coverage</t>
  </si>
  <si>
    <t>Genome Completeness</t>
  </si>
  <si>
    <t>ID</t>
  </si>
  <si>
    <t>Kit</t>
  </si>
  <si>
    <t>Optimized_Condition</t>
  </si>
  <si>
    <t>Manual, w/CR, Turbo DNase, LiCl treated, 2nd extracted, 65C 1 min.</t>
  </si>
  <si>
    <t>65ºC for 1 min.</t>
  </si>
  <si>
    <t>KAPA</t>
  </si>
  <si>
    <t>KAPA Fragmentation</t>
  </si>
  <si>
    <t>Fragmentation Optimization: 65C 1 min.</t>
  </si>
  <si>
    <t>Manual, w/CR, Turbo DNase, LiCl treated, 2nd extracted, 85C 3 min.</t>
  </si>
  <si>
    <t>85ºC for 3 min.</t>
  </si>
  <si>
    <t>Fragmentation Optimization: 85C 3 min.</t>
  </si>
  <si>
    <t>Manual, w/CR, Turbo DNase, LiCl treated, 2nd extracted, NEB</t>
  </si>
  <si>
    <t>NEB</t>
  </si>
  <si>
    <t>Library Preparation Kit</t>
  </si>
  <si>
    <t>Manual, w/CR, Turbo DNase, LiCl treated, 2nd extracted, KAPA</t>
  </si>
  <si>
    <t>KF, w/CR, Turbo DNase, LiCl treated, 2nd purification</t>
  </si>
  <si>
    <t>KingFisher</t>
  </si>
  <si>
    <t xml:space="preserve">Primary RNA Purification </t>
  </si>
  <si>
    <t>Manual, w/CR, Turbo DNase, LiCl treated, 2nd purification</t>
  </si>
  <si>
    <t>Manual</t>
  </si>
  <si>
    <t>Aligned Once</t>
  </si>
  <si>
    <t>(+) Carrier RNA</t>
  </si>
  <si>
    <t>Carrier RNA</t>
  </si>
  <si>
    <t>KF, w/oCR, Turbo DNase, LiCl treated, 2nd purification</t>
  </si>
  <si>
    <t>(-) Carrier RNA</t>
  </si>
  <si>
    <t>Turbo DNase</t>
  </si>
  <si>
    <t>DNase Treatment</t>
  </si>
  <si>
    <t>KF, w/CR, Zymo DNase, LiCl treated, 2nd purification</t>
  </si>
  <si>
    <t>Zymo DNase</t>
  </si>
  <si>
    <t xml:space="preserve">(+) LiCl </t>
  </si>
  <si>
    <t>LiCl Treatment</t>
  </si>
  <si>
    <t>Manual, w/CR, Turbo DNase, 2nd purification</t>
  </si>
  <si>
    <t>(-) LiCl</t>
  </si>
  <si>
    <t>(+) Secondary Purification</t>
  </si>
  <si>
    <t>Secondary RNA Purification</t>
  </si>
  <si>
    <t>Manual, w/CR, Turbo DNase, LiCl treated</t>
  </si>
  <si>
    <t>(-) Secondary Purification</t>
  </si>
  <si>
    <t>Library Preparation Kit: NEB</t>
  </si>
  <si>
    <t>Library Preparation Kit: KAPA</t>
  </si>
  <si>
    <t>Total Reads - Duplicates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</si>
</sst>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2"/>
      <color rgb="FF333333"/>
      <name val="Times New Roman"/>
      <family val="1"/>
    </font>
    <font>
      <sz val="12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2" fontId="5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10" fontId="1" fillId="0" borderId="1" xfId="0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2" fontId="1" fillId="2" borderId="1" xfId="0" applyNumberFormat="1" applyFont="1" applyFill="1" applyBorder="1" applyAlignment="1">
      <alignment horizontal="left"/>
    </xf>
    <xf numFmtId="2" fontId="5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2" fontId="1" fillId="0" borderId="1" xfId="0" applyNumberFormat="1" applyFont="1" applyFill="1" applyBorder="1" applyAlignment="1">
      <alignment horizontal="left"/>
    </xf>
    <xf numFmtId="2" fontId="5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164" fontId="5" fillId="0" borderId="1" xfId="0" applyNumberFormat="1" applyFont="1" applyFill="1" applyBorder="1" applyAlignment="1">
      <alignment horizontal="left"/>
    </xf>
    <xf numFmtId="2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2DE7C-D948-5D49-B156-F7EF75ECCCD7}">
  <dimension ref="A1:L146"/>
  <sheetViews>
    <sheetView topLeftCell="A81" zoomScale="80" zoomScaleNormal="80" workbookViewId="0">
      <selection activeCell="B31" sqref="B31"/>
    </sheetView>
  </sheetViews>
  <sheetFormatPr baseColWidth="10" defaultColWidth="11" defaultRowHeight="16" x14ac:dyDescent="0.2"/>
  <cols>
    <col min="1" max="1" width="55.6640625" customWidth="1"/>
    <col min="2" max="2" width="23.6640625" customWidth="1"/>
    <col min="3" max="3" width="21" style="4" customWidth="1"/>
    <col min="4" max="4" width="9.33203125" style="19" customWidth="1"/>
    <col min="5" max="5" width="18.6640625" style="19" customWidth="1"/>
    <col min="6" max="6" width="13.1640625" style="5" customWidth="1"/>
    <col min="7" max="7" width="32.6640625" style="3" customWidth="1"/>
    <col min="10" max="10" width="59.33203125" style="4" customWidth="1"/>
    <col min="11" max="11" width="18.33203125" customWidth="1"/>
    <col min="12" max="12" width="13.5" style="5" customWidth="1"/>
  </cols>
  <sheetData>
    <row r="1" spans="1:7" x14ac:dyDescent="0.2">
      <c r="A1" s="6" t="s">
        <v>0</v>
      </c>
      <c r="B1" s="6" t="s">
        <v>16</v>
      </c>
      <c r="C1" s="6" t="s">
        <v>1</v>
      </c>
      <c r="D1" s="12" t="s">
        <v>3</v>
      </c>
      <c r="E1" s="11" t="s">
        <v>4</v>
      </c>
      <c r="F1" s="6" t="s">
        <v>5</v>
      </c>
      <c r="G1" s="6" t="s">
        <v>6</v>
      </c>
    </row>
    <row r="2" spans="1:7" x14ac:dyDescent="0.2">
      <c r="A2" s="7" t="s">
        <v>31</v>
      </c>
      <c r="B2" s="7" t="s">
        <v>32</v>
      </c>
      <c r="C2" s="7" t="s">
        <v>10</v>
      </c>
      <c r="D2" s="9">
        <v>5.96</v>
      </c>
      <c r="E2" s="8">
        <f>_xlfn.STDEV.S(D2:D4)</f>
        <v>0.82273932688306339</v>
      </c>
      <c r="F2" s="7">
        <v>1</v>
      </c>
      <c r="G2" s="7" t="s">
        <v>33</v>
      </c>
    </row>
    <row r="3" spans="1:7" x14ac:dyDescent="0.2">
      <c r="A3" s="7" t="s">
        <v>31</v>
      </c>
      <c r="B3" s="7" t="s">
        <v>32</v>
      </c>
      <c r="C3" s="7" t="s">
        <v>10</v>
      </c>
      <c r="D3" s="9">
        <v>4.95</v>
      </c>
      <c r="E3" s="8">
        <v>0.82</v>
      </c>
      <c r="F3" s="7">
        <v>2</v>
      </c>
      <c r="G3" s="7" t="s">
        <v>33</v>
      </c>
    </row>
    <row r="4" spans="1:7" x14ac:dyDescent="0.2">
      <c r="A4" s="7" t="s">
        <v>31</v>
      </c>
      <c r="B4" s="7" t="s">
        <v>32</v>
      </c>
      <c r="C4" s="7" t="s">
        <v>10</v>
      </c>
      <c r="D4" s="9">
        <v>6.58</v>
      </c>
      <c r="E4" s="8">
        <v>0.82</v>
      </c>
      <c r="F4" s="7">
        <v>3</v>
      </c>
      <c r="G4" s="7" t="s">
        <v>33</v>
      </c>
    </row>
    <row r="5" spans="1:7" x14ac:dyDescent="0.2">
      <c r="A5" s="7" t="s">
        <v>34</v>
      </c>
      <c r="B5" s="7" t="s">
        <v>35</v>
      </c>
      <c r="C5" s="7" t="s">
        <v>10</v>
      </c>
      <c r="D5" s="9">
        <v>3.78</v>
      </c>
      <c r="E5" s="8">
        <f>_xlfn.STDEV.S(D5:D7)</f>
        <v>0.26627053911388682</v>
      </c>
      <c r="F5" s="7">
        <v>1</v>
      </c>
      <c r="G5" s="7" t="s">
        <v>33</v>
      </c>
    </row>
    <row r="6" spans="1:7" x14ac:dyDescent="0.2">
      <c r="A6" s="7" t="s">
        <v>34</v>
      </c>
      <c r="B6" s="7" t="s">
        <v>35</v>
      </c>
      <c r="C6" s="7" t="s">
        <v>10</v>
      </c>
      <c r="D6" s="9">
        <v>3.47</v>
      </c>
      <c r="E6" s="8">
        <v>0.27</v>
      </c>
      <c r="F6" s="7">
        <v>2</v>
      </c>
      <c r="G6" s="7" t="s">
        <v>33</v>
      </c>
    </row>
    <row r="7" spans="1:7" x14ac:dyDescent="0.2">
      <c r="A7" s="7" t="s">
        <v>34</v>
      </c>
      <c r="B7" s="7" t="s">
        <v>35</v>
      </c>
      <c r="C7" s="7" t="s">
        <v>10</v>
      </c>
      <c r="D7" s="9">
        <v>4</v>
      </c>
      <c r="E7" s="8">
        <v>0.27</v>
      </c>
      <c r="F7" s="7">
        <v>3</v>
      </c>
      <c r="G7" s="7" t="s">
        <v>33</v>
      </c>
    </row>
    <row r="8" spans="1:7" x14ac:dyDescent="0.2">
      <c r="A8" s="7" t="s">
        <v>31</v>
      </c>
      <c r="B8" s="7" t="s">
        <v>32</v>
      </c>
      <c r="C8" s="7" t="s">
        <v>13</v>
      </c>
      <c r="D8" s="9">
        <v>167191</v>
      </c>
      <c r="E8" s="8">
        <f>_xlfn.STDEV.S(D8:D10)</f>
        <v>3881.9737677286448</v>
      </c>
      <c r="F8" s="7">
        <v>1</v>
      </c>
      <c r="G8" s="7" t="s">
        <v>33</v>
      </c>
    </row>
    <row r="9" spans="1:7" x14ac:dyDescent="0.2">
      <c r="A9" s="7" t="s">
        <v>31</v>
      </c>
      <c r="B9" s="7" t="s">
        <v>32</v>
      </c>
      <c r="C9" s="7" t="s">
        <v>13</v>
      </c>
      <c r="D9" s="9">
        <v>159631</v>
      </c>
      <c r="E9" s="8">
        <v>3881.9737677286448</v>
      </c>
      <c r="F9" s="7">
        <v>2</v>
      </c>
      <c r="G9" s="7" t="s">
        <v>33</v>
      </c>
    </row>
    <row r="10" spans="1:7" x14ac:dyDescent="0.2">
      <c r="A10" s="7" t="s">
        <v>31</v>
      </c>
      <c r="B10" s="7" t="s">
        <v>32</v>
      </c>
      <c r="C10" s="7" t="s">
        <v>13</v>
      </c>
      <c r="D10" s="9">
        <v>161880</v>
      </c>
      <c r="E10" s="8">
        <v>3881.9737677286448</v>
      </c>
      <c r="F10" s="7">
        <v>3</v>
      </c>
      <c r="G10" s="7" t="s">
        <v>33</v>
      </c>
    </row>
    <row r="11" spans="1:7" x14ac:dyDescent="0.2">
      <c r="A11" s="7" t="s">
        <v>31</v>
      </c>
      <c r="B11" s="7" t="s">
        <v>32</v>
      </c>
      <c r="C11" s="7" t="s">
        <v>36</v>
      </c>
      <c r="D11" s="9">
        <v>15782.830400000001</v>
      </c>
      <c r="E11" s="8">
        <f>_xlfn.STDEV.S(D11:D13)</f>
        <v>1356.1342497817263</v>
      </c>
      <c r="F11" s="7">
        <v>1</v>
      </c>
      <c r="G11" s="7" t="s">
        <v>33</v>
      </c>
    </row>
    <row r="12" spans="1:7" x14ac:dyDescent="0.2">
      <c r="A12" s="7" t="s">
        <v>31</v>
      </c>
      <c r="B12" s="7" t="s">
        <v>32</v>
      </c>
      <c r="C12" s="7" t="s">
        <v>36</v>
      </c>
      <c r="D12" s="9">
        <v>13105.705099999999</v>
      </c>
      <c r="E12" s="8">
        <v>1356.1342497817263</v>
      </c>
      <c r="F12" s="7">
        <v>2</v>
      </c>
      <c r="G12" s="7" t="s">
        <v>33</v>
      </c>
    </row>
    <row r="13" spans="1:7" x14ac:dyDescent="0.2">
      <c r="A13" s="7" t="s">
        <v>31</v>
      </c>
      <c r="B13" s="7" t="s">
        <v>32</v>
      </c>
      <c r="C13" s="7" t="s">
        <v>36</v>
      </c>
      <c r="D13" s="9">
        <v>14067.371999999999</v>
      </c>
      <c r="E13" s="8">
        <v>1356.1342497817263</v>
      </c>
      <c r="F13" s="7">
        <v>3</v>
      </c>
      <c r="G13" s="7" t="s">
        <v>33</v>
      </c>
    </row>
    <row r="14" spans="1:7" x14ac:dyDescent="0.2">
      <c r="A14" s="7" t="s">
        <v>31</v>
      </c>
      <c r="B14" s="7" t="s">
        <v>32</v>
      </c>
      <c r="C14" s="7" t="s">
        <v>11</v>
      </c>
      <c r="D14" s="9">
        <f>D11/D8</f>
        <v>9.4399999999999998E-2</v>
      </c>
      <c r="E14" s="8">
        <f>_xlfn.STDEV.S(D14:D16)</f>
        <v>6.1991934959315506E-3</v>
      </c>
      <c r="F14" s="7">
        <v>1</v>
      </c>
      <c r="G14" s="7" t="s">
        <v>33</v>
      </c>
    </row>
    <row r="15" spans="1:7" x14ac:dyDescent="0.2">
      <c r="A15" s="7" t="s">
        <v>31</v>
      </c>
      <c r="B15" s="7" t="s">
        <v>32</v>
      </c>
      <c r="C15" s="7" t="s">
        <v>11</v>
      </c>
      <c r="D15" s="9">
        <f>D12/D9</f>
        <v>8.2099999999999992E-2</v>
      </c>
      <c r="E15" s="8">
        <v>5.9193247802454274E-3</v>
      </c>
      <c r="F15" s="7">
        <v>2</v>
      </c>
      <c r="G15" s="7" t="s">
        <v>33</v>
      </c>
    </row>
    <row r="16" spans="1:7" x14ac:dyDescent="0.2">
      <c r="A16" s="7" t="s">
        <v>31</v>
      </c>
      <c r="B16" s="7" t="s">
        <v>32</v>
      </c>
      <c r="C16" s="7" t="s">
        <v>11</v>
      </c>
      <c r="D16" s="9">
        <f>D13/D10</f>
        <v>8.6899999999999991E-2</v>
      </c>
      <c r="E16" s="8">
        <v>5.9193247802454274E-3</v>
      </c>
      <c r="F16" s="7">
        <v>3</v>
      </c>
      <c r="G16" s="7" t="s">
        <v>33</v>
      </c>
    </row>
    <row r="17" spans="1:7" x14ac:dyDescent="0.2">
      <c r="A17" s="10" t="s">
        <v>34</v>
      </c>
      <c r="B17" s="10" t="s">
        <v>35</v>
      </c>
      <c r="C17" s="7" t="s">
        <v>13</v>
      </c>
      <c r="D17" s="9">
        <v>230051</v>
      </c>
      <c r="E17" s="8">
        <f>_xlfn.STDEV.S(D17:D19)</f>
        <v>2702.4002294256861</v>
      </c>
      <c r="F17" s="7">
        <v>1</v>
      </c>
      <c r="G17" s="7" t="s">
        <v>33</v>
      </c>
    </row>
    <row r="18" spans="1:7" x14ac:dyDescent="0.2">
      <c r="A18" s="7" t="s">
        <v>34</v>
      </c>
      <c r="B18" s="7" t="s">
        <v>35</v>
      </c>
      <c r="C18" s="7" t="s">
        <v>13</v>
      </c>
      <c r="D18" s="9">
        <v>226002</v>
      </c>
      <c r="E18" s="8">
        <v>2702.4002294256861</v>
      </c>
      <c r="F18" s="7">
        <v>2</v>
      </c>
      <c r="G18" s="7" t="s">
        <v>33</v>
      </c>
    </row>
    <row r="19" spans="1:7" x14ac:dyDescent="0.2">
      <c r="A19" s="7" t="s">
        <v>34</v>
      </c>
      <c r="B19" s="7" t="s">
        <v>35</v>
      </c>
      <c r="C19" s="7" t="s">
        <v>13</v>
      </c>
      <c r="D19" s="9">
        <v>231127</v>
      </c>
      <c r="E19" s="8">
        <v>2702.4002294256861</v>
      </c>
      <c r="F19" s="7">
        <v>3</v>
      </c>
      <c r="G19" s="7" t="s">
        <v>33</v>
      </c>
    </row>
    <row r="20" spans="1:7" x14ac:dyDescent="0.2">
      <c r="A20" s="7" t="s">
        <v>34</v>
      </c>
      <c r="B20" s="7" t="s">
        <v>35</v>
      </c>
      <c r="C20" s="7" t="s">
        <v>36</v>
      </c>
      <c r="D20" s="9">
        <v>33035.323600000003</v>
      </c>
      <c r="E20" s="8">
        <f>_xlfn.STDEV.S(D20:D22)</f>
        <v>1851.0687397648651</v>
      </c>
      <c r="F20" s="7">
        <v>1</v>
      </c>
      <c r="G20" s="7" t="s">
        <v>33</v>
      </c>
    </row>
    <row r="21" spans="1:7" x14ac:dyDescent="0.2">
      <c r="A21" s="7" t="s">
        <v>34</v>
      </c>
      <c r="B21" s="7" t="s">
        <v>35</v>
      </c>
      <c r="C21" s="7" t="s">
        <v>36</v>
      </c>
      <c r="D21" s="9">
        <v>29425.4604</v>
      </c>
      <c r="E21" s="8">
        <v>1812.9231460084934</v>
      </c>
      <c r="F21" s="7">
        <v>2</v>
      </c>
      <c r="G21" s="7" t="s">
        <v>33</v>
      </c>
    </row>
    <row r="22" spans="1:7" x14ac:dyDescent="0.2">
      <c r="A22" s="7" t="s">
        <v>34</v>
      </c>
      <c r="B22" s="7" t="s">
        <v>35</v>
      </c>
      <c r="C22" s="7" t="s">
        <v>36</v>
      </c>
      <c r="D22" s="9">
        <v>31941.751400000001</v>
      </c>
      <c r="E22" s="8">
        <v>1812.9231460084934</v>
      </c>
      <c r="F22" s="7">
        <v>3</v>
      </c>
      <c r="G22" s="7" t="s">
        <v>33</v>
      </c>
    </row>
    <row r="23" spans="1:7" x14ac:dyDescent="0.2">
      <c r="A23" s="7" t="s">
        <v>34</v>
      </c>
      <c r="B23" s="7" t="s">
        <v>35</v>
      </c>
      <c r="C23" s="7" t="s">
        <v>11</v>
      </c>
      <c r="D23" s="9">
        <f>D20/D17</f>
        <v>0.14360000000000001</v>
      </c>
      <c r="E23" s="8">
        <f>_xlfn.STDEV.S(D23:D25)</f>
        <v>6.7419087307181279E-3</v>
      </c>
      <c r="F23" s="7">
        <v>1</v>
      </c>
      <c r="G23" s="7" t="s">
        <v>33</v>
      </c>
    </row>
    <row r="24" spans="1:7" x14ac:dyDescent="0.2">
      <c r="A24" s="7" t="s">
        <v>34</v>
      </c>
      <c r="B24" s="7" t="s">
        <v>35</v>
      </c>
      <c r="C24" s="7" t="s">
        <v>11</v>
      </c>
      <c r="D24" s="9">
        <f>D21/D18</f>
        <v>0.13020000000000001</v>
      </c>
      <c r="E24" s="8">
        <v>6.6E-3</v>
      </c>
      <c r="F24" s="7">
        <v>2</v>
      </c>
      <c r="G24" s="7" t="s">
        <v>33</v>
      </c>
    </row>
    <row r="25" spans="1:7" x14ac:dyDescent="0.2">
      <c r="A25" s="7" t="s">
        <v>34</v>
      </c>
      <c r="B25" s="7" t="s">
        <v>35</v>
      </c>
      <c r="C25" s="7" t="s">
        <v>11</v>
      </c>
      <c r="D25" s="9">
        <f>D22/D19</f>
        <v>0.13820000000000002</v>
      </c>
      <c r="E25" s="8">
        <v>6.6E-3</v>
      </c>
      <c r="F25" s="7">
        <v>3</v>
      </c>
      <c r="G25" s="7" t="s">
        <v>33</v>
      </c>
    </row>
    <row r="26" spans="1:7" x14ac:dyDescent="0.2">
      <c r="A26" s="7" t="s">
        <v>31</v>
      </c>
      <c r="B26" s="7" t="s">
        <v>32</v>
      </c>
      <c r="C26" s="7" t="s">
        <v>12</v>
      </c>
      <c r="D26" s="9">
        <v>167.1</v>
      </c>
      <c r="E26" s="8">
        <f>_xlfn.STDEV.S(D26:D28)</f>
        <v>14.574749854914598</v>
      </c>
      <c r="F26" s="7">
        <v>1</v>
      </c>
      <c r="G26" s="7" t="s">
        <v>33</v>
      </c>
    </row>
    <row r="27" spans="1:7" x14ac:dyDescent="0.2">
      <c r="A27" s="7" t="s">
        <v>31</v>
      </c>
      <c r="B27" s="7" t="s">
        <v>32</v>
      </c>
      <c r="C27" s="7" t="s">
        <v>12</v>
      </c>
      <c r="D27" s="9">
        <v>138.80000000000001</v>
      </c>
      <c r="E27" s="8">
        <v>14.5747</v>
      </c>
      <c r="F27" s="7">
        <v>2</v>
      </c>
      <c r="G27" s="7" t="s">
        <v>33</v>
      </c>
    </row>
    <row r="28" spans="1:7" x14ac:dyDescent="0.2">
      <c r="A28" s="7" t="s">
        <v>31</v>
      </c>
      <c r="B28" s="7" t="s">
        <v>32</v>
      </c>
      <c r="C28" s="7" t="s">
        <v>12</v>
      </c>
      <c r="D28" s="9">
        <v>146.9</v>
      </c>
      <c r="E28" s="8">
        <v>14.5747</v>
      </c>
      <c r="F28" s="7">
        <v>3</v>
      </c>
      <c r="G28" s="7" t="s">
        <v>33</v>
      </c>
    </row>
    <row r="29" spans="1:7" x14ac:dyDescent="0.2">
      <c r="A29" s="7" t="s">
        <v>34</v>
      </c>
      <c r="B29" s="7" t="s">
        <v>35</v>
      </c>
      <c r="C29" s="7" t="s">
        <v>12</v>
      </c>
      <c r="D29" s="9">
        <v>344.6</v>
      </c>
      <c r="E29" s="8">
        <f>_xlfn.STDEV.S(D29:D31)</f>
        <v>17.125808983324948</v>
      </c>
      <c r="F29" s="7">
        <v>1</v>
      </c>
      <c r="G29" s="7" t="s">
        <v>33</v>
      </c>
    </row>
    <row r="30" spans="1:7" x14ac:dyDescent="0.2">
      <c r="A30" s="7" t="s">
        <v>34</v>
      </c>
      <c r="B30" s="7" t="s">
        <v>35</v>
      </c>
      <c r="C30" s="7" t="s">
        <v>12</v>
      </c>
      <c r="D30" s="9">
        <v>312</v>
      </c>
      <c r="E30" s="8">
        <v>17.125800000000002</v>
      </c>
      <c r="F30" s="7">
        <v>2</v>
      </c>
      <c r="G30" s="7" t="s">
        <v>33</v>
      </c>
    </row>
    <row r="31" spans="1:7" x14ac:dyDescent="0.2">
      <c r="A31" s="7" t="s">
        <v>34</v>
      </c>
      <c r="B31" s="7" t="s">
        <v>35</v>
      </c>
      <c r="C31" s="7" t="s">
        <v>12</v>
      </c>
      <c r="D31" s="9">
        <v>337.4</v>
      </c>
      <c r="E31" s="8">
        <v>17.125800000000002</v>
      </c>
      <c r="F31" s="7">
        <v>3</v>
      </c>
      <c r="G31" s="7" t="s">
        <v>33</v>
      </c>
    </row>
    <row r="32" spans="1:7" x14ac:dyDescent="0.2">
      <c r="A32" s="7" t="s">
        <v>31</v>
      </c>
      <c r="B32" s="7" t="s">
        <v>37</v>
      </c>
      <c r="C32" s="7" t="s">
        <v>10</v>
      </c>
      <c r="D32" s="9">
        <v>5.96</v>
      </c>
      <c r="E32" s="8">
        <f>_xlfn.STDEV.S(D32:D34)</f>
        <v>0.82273932688306339</v>
      </c>
      <c r="F32" s="7">
        <v>1</v>
      </c>
      <c r="G32" s="7" t="s">
        <v>38</v>
      </c>
    </row>
    <row r="33" spans="1:7" x14ac:dyDescent="0.2">
      <c r="A33" s="7" t="s">
        <v>31</v>
      </c>
      <c r="B33" s="7" t="s">
        <v>37</v>
      </c>
      <c r="C33" s="7" t="s">
        <v>10</v>
      </c>
      <c r="D33" s="9">
        <v>4.95</v>
      </c>
      <c r="E33" s="8">
        <v>0.82</v>
      </c>
      <c r="F33" s="7">
        <v>2</v>
      </c>
      <c r="G33" s="7" t="s">
        <v>38</v>
      </c>
    </row>
    <row r="34" spans="1:7" x14ac:dyDescent="0.2">
      <c r="A34" s="7" t="s">
        <v>31</v>
      </c>
      <c r="B34" s="7" t="s">
        <v>37</v>
      </c>
      <c r="C34" s="7" t="s">
        <v>10</v>
      </c>
      <c r="D34" s="9">
        <v>6.58</v>
      </c>
      <c r="E34" s="8">
        <v>0.82</v>
      </c>
      <c r="F34" s="7">
        <v>3</v>
      </c>
      <c r="G34" s="7" t="s">
        <v>38</v>
      </c>
    </row>
    <row r="35" spans="1:7" x14ac:dyDescent="0.2">
      <c r="A35" s="7" t="s">
        <v>39</v>
      </c>
      <c r="B35" s="7" t="s">
        <v>40</v>
      </c>
      <c r="C35" s="7" t="s">
        <v>10</v>
      </c>
      <c r="D35" s="9">
        <v>3.72</v>
      </c>
      <c r="E35" s="8">
        <f>_xlfn.STDEV.S(D35:D37)</f>
        <v>0.62428625912584168</v>
      </c>
      <c r="F35" s="7">
        <v>1</v>
      </c>
      <c r="G35" s="7" t="s">
        <v>38</v>
      </c>
    </row>
    <row r="36" spans="1:7" x14ac:dyDescent="0.2">
      <c r="A36" s="7" t="s">
        <v>39</v>
      </c>
      <c r="B36" s="7" t="s">
        <v>40</v>
      </c>
      <c r="C36" s="7" t="s">
        <v>10</v>
      </c>
      <c r="D36" s="9">
        <v>2.88</v>
      </c>
      <c r="E36" s="8">
        <v>0.62</v>
      </c>
      <c r="F36" s="7">
        <v>2</v>
      </c>
      <c r="G36" s="7" t="s">
        <v>38</v>
      </c>
    </row>
    <row r="37" spans="1:7" x14ac:dyDescent="0.2">
      <c r="A37" s="7" t="s">
        <v>39</v>
      </c>
      <c r="B37" s="7" t="s">
        <v>40</v>
      </c>
      <c r="C37" s="7" t="s">
        <v>10</v>
      </c>
      <c r="D37" s="9">
        <v>2.5</v>
      </c>
      <c r="E37" s="8">
        <v>0.62</v>
      </c>
      <c r="F37" s="7">
        <v>3</v>
      </c>
      <c r="G37" s="7" t="s">
        <v>38</v>
      </c>
    </row>
    <row r="38" spans="1:7" x14ac:dyDescent="0.2">
      <c r="A38" s="7" t="s">
        <v>31</v>
      </c>
      <c r="B38" s="7" t="s">
        <v>37</v>
      </c>
      <c r="C38" s="7" t="s">
        <v>13</v>
      </c>
      <c r="D38" s="9">
        <v>167191</v>
      </c>
      <c r="E38" s="8">
        <f>_xlfn.STDEV.S(D38:D40)</f>
        <v>3881.9737677286448</v>
      </c>
      <c r="F38" s="7">
        <v>1</v>
      </c>
      <c r="G38" s="7" t="s">
        <v>38</v>
      </c>
    </row>
    <row r="39" spans="1:7" x14ac:dyDescent="0.2">
      <c r="A39" s="7" t="s">
        <v>31</v>
      </c>
      <c r="B39" s="7" t="s">
        <v>37</v>
      </c>
      <c r="C39" s="7" t="s">
        <v>13</v>
      </c>
      <c r="D39" s="9">
        <v>159631</v>
      </c>
      <c r="E39" s="8">
        <v>3881.9737677286448</v>
      </c>
      <c r="F39" s="7">
        <v>2</v>
      </c>
      <c r="G39" s="7" t="s">
        <v>38</v>
      </c>
    </row>
    <row r="40" spans="1:7" x14ac:dyDescent="0.2">
      <c r="A40" s="7" t="s">
        <v>31</v>
      </c>
      <c r="B40" s="7" t="s">
        <v>37</v>
      </c>
      <c r="C40" s="7" t="s">
        <v>13</v>
      </c>
      <c r="D40" s="9">
        <v>161880</v>
      </c>
      <c r="E40" s="8">
        <v>3881.9737677286448</v>
      </c>
      <c r="F40" s="7">
        <v>3</v>
      </c>
      <c r="G40" s="7" t="s">
        <v>38</v>
      </c>
    </row>
    <row r="41" spans="1:7" x14ac:dyDescent="0.2">
      <c r="A41" s="7" t="s">
        <v>31</v>
      </c>
      <c r="B41" s="7" t="s">
        <v>37</v>
      </c>
      <c r="C41" s="7" t="s">
        <v>36</v>
      </c>
      <c r="D41" s="9">
        <v>15782.830400000001</v>
      </c>
      <c r="E41" s="8">
        <f>_xlfn.STDEV.S(D41:D43)</f>
        <v>1356.1342497817263</v>
      </c>
      <c r="F41" s="7">
        <v>1</v>
      </c>
      <c r="G41" s="7" t="s">
        <v>38</v>
      </c>
    </row>
    <row r="42" spans="1:7" x14ac:dyDescent="0.2">
      <c r="A42" s="7" t="s">
        <v>31</v>
      </c>
      <c r="B42" s="7" t="s">
        <v>37</v>
      </c>
      <c r="C42" s="7" t="s">
        <v>36</v>
      </c>
      <c r="D42" s="9">
        <v>13105.705099999999</v>
      </c>
      <c r="E42" s="8">
        <v>1356.1342497817263</v>
      </c>
      <c r="F42" s="7">
        <v>2</v>
      </c>
      <c r="G42" s="7" t="s">
        <v>38</v>
      </c>
    </row>
    <row r="43" spans="1:7" x14ac:dyDescent="0.2">
      <c r="A43" s="7" t="s">
        <v>31</v>
      </c>
      <c r="B43" s="7" t="s">
        <v>37</v>
      </c>
      <c r="C43" s="7" t="s">
        <v>36</v>
      </c>
      <c r="D43" s="9">
        <v>14067.371999999999</v>
      </c>
      <c r="E43" s="8">
        <v>1356.1342497817263</v>
      </c>
      <c r="F43" s="7">
        <v>3</v>
      </c>
      <c r="G43" s="7" t="s">
        <v>38</v>
      </c>
    </row>
    <row r="44" spans="1:7" x14ac:dyDescent="0.2">
      <c r="A44" s="7" t="s">
        <v>31</v>
      </c>
      <c r="B44" s="7" t="s">
        <v>37</v>
      </c>
      <c r="C44" s="7" t="s">
        <v>11</v>
      </c>
      <c r="D44" s="9">
        <f>D41/D38</f>
        <v>9.4399999999999998E-2</v>
      </c>
      <c r="E44" s="8">
        <f>_xlfn.STDEV.S(D44:D46)</f>
        <v>6.1991934959315506E-3</v>
      </c>
      <c r="F44" s="7">
        <v>1</v>
      </c>
      <c r="G44" s="7" t="s">
        <v>38</v>
      </c>
    </row>
    <row r="45" spans="1:7" x14ac:dyDescent="0.2">
      <c r="A45" s="7" t="s">
        <v>31</v>
      </c>
      <c r="B45" s="7" t="s">
        <v>37</v>
      </c>
      <c r="C45" s="7" t="s">
        <v>11</v>
      </c>
      <c r="D45" s="9">
        <f>D42/D39</f>
        <v>8.2099999999999992E-2</v>
      </c>
      <c r="E45" s="8">
        <v>6.1991934959315506E-3</v>
      </c>
      <c r="F45" s="7">
        <v>2</v>
      </c>
      <c r="G45" s="7" t="s">
        <v>38</v>
      </c>
    </row>
    <row r="46" spans="1:7" x14ac:dyDescent="0.2">
      <c r="A46" s="7" t="s">
        <v>31</v>
      </c>
      <c r="B46" s="7" t="s">
        <v>37</v>
      </c>
      <c r="C46" s="7" t="s">
        <v>11</v>
      </c>
      <c r="D46" s="9">
        <f>D43/D40</f>
        <v>8.6899999999999991E-2</v>
      </c>
      <c r="E46" s="8">
        <v>6.1991934959315506E-3</v>
      </c>
      <c r="F46" s="7">
        <v>3</v>
      </c>
      <c r="G46" s="7" t="s">
        <v>38</v>
      </c>
    </row>
    <row r="47" spans="1:7" x14ac:dyDescent="0.2">
      <c r="A47" s="7" t="s">
        <v>39</v>
      </c>
      <c r="B47" s="7" t="s">
        <v>40</v>
      </c>
      <c r="C47" s="7" t="s">
        <v>13</v>
      </c>
      <c r="D47" s="9">
        <v>216099</v>
      </c>
      <c r="E47" s="8">
        <f>_xlfn.STDEV.S(D47:D49)</f>
        <v>4862.8208891547711</v>
      </c>
      <c r="F47" s="7">
        <v>1</v>
      </c>
      <c r="G47" s="7" t="s">
        <v>38</v>
      </c>
    </row>
    <row r="48" spans="1:7" x14ac:dyDescent="0.2">
      <c r="A48" s="7" t="s">
        <v>39</v>
      </c>
      <c r="B48" s="7" t="s">
        <v>40</v>
      </c>
      <c r="C48" s="7" t="s">
        <v>13</v>
      </c>
      <c r="D48" s="9">
        <v>216763</v>
      </c>
      <c r="E48" s="8">
        <v>4862.8208891547711</v>
      </c>
      <c r="F48" s="7">
        <v>2</v>
      </c>
      <c r="G48" s="7" t="s">
        <v>38</v>
      </c>
    </row>
    <row r="49" spans="1:7" x14ac:dyDescent="0.2">
      <c r="A49" s="7" t="s">
        <v>39</v>
      </c>
      <c r="B49" s="7" t="s">
        <v>40</v>
      </c>
      <c r="C49" s="7" t="s">
        <v>13</v>
      </c>
      <c r="D49" s="9">
        <v>208028</v>
      </c>
      <c r="E49" s="8">
        <v>4862.8208891547711</v>
      </c>
      <c r="F49" s="7">
        <v>3</v>
      </c>
      <c r="G49" s="7" t="s">
        <v>38</v>
      </c>
    </row>
    <row r="50" spans="1:7" x14ac:dyDescent="0.2">
      <c r="A50" s="7" t="s">
        <v>39</v>
      </c>
      <c r="B50" s="7" t="s">
        <v>40</v>
      </c>
      <c r="C50" s="7" t="s">
        <v>36</v>
      </c>
      <c r="D50" s="9">
        <v>19405.690200000001</v>
      </c>
      <c r="E50" s="8">
        <f>_xlfn.STDEV.S(D50:D52)</f>
        <v>2625.2809091838244</v>
      </c>
      <c r="F50" s="7">
        <v>1</v>
      </c>
      <c r="G50" s="7" t="s">
        <v>38</v>
      </c>
    </row>
    <row r="51" spans="1:7" x14ac:dyDescent="0.2">
      <c r="A51" s="7" t="s">
        <v>39</v>
      </c>
      <c r="B51" s="7" t="s">
        <v>40</v>
      </c>
      <c r="C51" s="7" t="s">
        <v>36</v>
      </c>
      <c r="D51" s="9">
        <v>14414.7395</v>
      </c>
      <c r="E51" s="8">
        <v>2575.711422759412</v>
      </c>
      <c r="F51" s="7">
        <v>2</v>
      </c>
      <c r="G51" s="7" t="s">
        <v>38</v>
      </c>
    </row>
    <row r="52" spans="1:7" x14ac:dyDescent="0.2">
      <c r="A52" s="7" t="s">
        <v>39</v>
      </c>
      <c r="B52" s="7" t="s">
        <v>40</v>
      </c>
      <c r="C52" s="7" t="s">
        <v>36</v>
      </c>
      <c r="D52" s="9">
        <v>15498.085999999999</v>
      </c>
      <c r="E52" s="8">
        <v>2575.711422759412</v>
      </c>
      <c r="F52" s="7">
        <v>3</v>
      </c>
      <c r="G52" s="7" t="s">
        <v>38</v>
      </c>
    </row>
    <row r="53" spans="1:7" x14ac:dyDescent="0.2">
      <c r="A53" s="7" t="s">
        <v>39</v>
      </c>
      <c r="B53" s="7" t="s">
        <v>40</v>
      </c>
      <c r="C53" s="7" t="s">
        <v>11</v>
      </c>
      <c r="D53" s="9">
        <f>D50/D47</f>
        <v>8.9800000000000005E-2</v>
      </c>
      <c r="E53" s="8">
        <f>_xlfn.STDEV.S(D53:D55)</f>
        <v>1.1839059647342576E-2</v>
      </c>
      <c r="F53" s="7">
        <v>1</v>
      </c>
      <c r="G53" s="7" t="s">
        <v>38</v>
      </c>
    </row>
    <row r="54" spans="1:7" x14ac:dyDescent="0.2">
      <c r="A54" s="7" t="s">
        <v>39</v>
      </c>
      <c r="B54" s="7" t="s">
        <v>40</v>
      </c>
      <c r="C54" s="7" t="s">
        <v>11</v>
      </c>
      <c r="D54" s="9">
        <f>D51/D48</f>
        <v>6.6500000000000004E-2</v>
      </c>
      <c r="E54" s="8">
        <v>1.1623437066146918E-2</v>
      </c>
      <c r="F54" s="7">
        <v>2</v>
      </c>
      <c r="G54" s="7" t="s">
        <v>38</v>
      </c>
    </row>
    <row r="55" spans="1:7" x14ac:dyDescent="0.2">
      <c r="A55" s="7" t="s">
        <v>39</v>
      </c>
      <c r="B55" s="7" t="s">
        <v>40</v>
      </c>
      <c r="C55" s="7" t="s">
        <v>11</v>
      </c>
      <c r="D55" s="9">
        <f>D52/D49</f>
        <v>7.4499999999999997E-2</v>
      </c>
      <c r="E55" s="8">
        <v>1.1623437066146918E-2</v>
      </c>
      <c r="F55" s="7">
        <v>3</v>
      </c>
      <c r="G55" s="7" t="s">
        <v>38</v>
      </c>
    </row>
    <row r="56" spans="1:7" x14ac:dyDescent="0.2">
      <c r="A56" s="7" t="s">
        <v>31</v>
      </c>
      <c r="B56" s="7" t="s">
        <v>37</v>
      </c>
      <c r="C56" s="7" t="s">
        <v>12</v>
      </c>
      <c r="D56" s="23">
        <v>167.1</v>
      </c>
      <c r="E56" s="8">
        <f>_xlfn.STDEV.S(D56:D58)</f>
        <v>14.574749854914598</v>
      </c>
      <c r="F56" s="7">
        <v>1</v>
      </c>
      <c r="G56" s="7" t="s">
        <v>38</v>
      </c>
    </row>
    <row r="57" spans="1:7" x14ac:dyDescent="0.2">
      <c r="A57" s="7" t="s">
        <v>31</v>
      </c>
      <c r="B57" s="7" t="s">
        <v>37</v>
      </c>
      <c r="C57" s="7" t="s">
        <v>12</v>
      </c>
      <c r="D57" s="23">
        <v>138.80000000000001</v>
      </c>
      <c r="E57" s="8">
        <v>14.5747</v>
      </c>
      <c r="F57" s="7">
        <v>2</v>
      </c>
      <c r="G57" s="7" t="s">
        <v>38</v>
      </c>
    </row>
    <row r="58" spans="1:7" x14ac:dyDescent="0.2">
      <c r="A58" s="7" t="s">
        <v>31</v>
      </c>
      <c r="B58" s="7" t="s">
        <v>37</v>
      </c>
      <c r="C58" s="7" t="s">
        <v>12</v>
      </c>
      <c r="D58" s="23">
        <v>146.9</v>
      </c>
      <c r="E58" s="8">
        <v>14.5747</v>
      </c>
      <c r="F58" s="7">
        <v>3</v>
      </c>
      <c r="G58" s="7" t="s">
        <v>38</v>
      </c>
    </row>
    <row r="59" spans="1:7" x14ac:dyDescent="0.2">
      <c r="A59" s="7" t="s">
        <v>39</v>
      </c>
      <c r="B59" s="7" t="s">
        <v>40</v>
      </c>
      <c r="C59" s="7" t="s">
        <v>12</v>
      </c>
      <c r="D59" s="23">
        <v>216.2</v>
      </c>
      <c r="E59" s="8">
        <f>_xlfn.STDEV.S(D59:D61)</f>
        <v>28.280912290801457</v>
      </c>
      <c r="F59" s="7">
        <v>1</v>
      </c>
      <c r="G59" s="7" t="s">
        <v>38</v>
      </c>
    </row>
    <row r="60" spans="1:7" x14ac:dyDescent="0.2">
      <c r="A60" s="7" t="s">
        <v>39</v>
      </c>
      <c r="B60" s="7" t="s">
        <v>40</v>
      </c>
      <c r="C60" s="7" t="s">
        <v>12</v>
      </c>
      <c r="D60" s="23">
        <v>162.30000000000001</v>
      </c>
      <c r="E60" s="8">
        <v>28.280899999999999</v>
      </c>
      <c r="F60" s="7">
        <v>2</v>
      </c>
      <c r="G60" s="7" t="s">
        <v>38</v>
      </c>
    </row>
    <row r="61" spans="1:7" x14ac:dyDescent="0.2">
      <c r="A61" s="7" t="s">
        <v>39</v>
      </c>
      <c r="B61" s="7" t="s">
        <v>40</v>
      </c>
      <c r="C61" s="7" t="s">
        <v>12</v>
      </c>
      <c r="D61" s="9">
        <v>174.4</v>
      </c>
      <c r="E61" s="8">
        <v>28.280899999999999</v>
      </c>
      <c r="F61" s="7">
        <v>3</v>
      </c>
      <c r="G61" s="7" t="s">
        <v>38</v>
      </c>
    </row>
    <row r="62" spans="1:7" x14ac:dyDescent="0.2">
      <c r="A62" s="7" t="s">
        <v>31</v>
      </c>
      <c r="B62" s="7" t="s">
        <v>41</v>
      </c>
      <c r="C62" s="7" t="s">
        <v>10</v>
      </c>
      <c r="D62" s="9">
        <v>5.96</v>
      </c>
      <c r="E62" s="8">
        <f>_xlfn.STDEV.S(D62:D64)</f>
        <v>0.82273932688306339</v>
      </c>
      <c r="F62" s="7">
        <v>1</v>
      </c>
      <c r="G62" s="7" t="s">
        <v>42</v>
      </c>
    </row>
    <row r="63" spans="1:7" x14ac:dyDescent="0.2">
      <c r="A63" s="7" t="s">
        <v>31</v>
      </c>
      <c r="B63" s="7" t="s">
        <v>41</v>
      </c>
      <c r="C63" s="7" t="s">
        <v>10</v>
      </c>
      <c r="D63" s="9">
        <v>4.95</v>
      </c>
      <c r="E63" s="8">
        <v>0.82</v>
      </c>
      <c r="F63" s="7">
        <v>2</v>
      </c>
      <c r="G63" s="7" t="s">
        <v>42</v>
      </c>
    </row>
    <row r="64" spans="1:7" x14ac:dyDescent="0.2">
      <c r="A64" s="7" t="s">
        <v>31</v>
      </c>
      <c r="B64" s="7" t="s">
        <v>41</v>
      </c>
      <c r="C64" s="7" t="s">
        <v>10</v>
      </c>
      <c r="D64" s="9">
        <v>6.58</v>
      </c>
      <c r="E64" s="8">
        <v>0.82</v>
      </c>
      <c r="F64" s="7">
        <v>3</v>
      </c>
      <c r="G64" s="7" t="s">
        <v>42</v>
      </c>
    </row>
    <row r="65" spans="1:7" x14ac:dyDescent="0.2">
      <c r="A65" s="7" t="s">
        <v>43</v>
      </c>
      <c r="B65" s="7" t="s">
        <v>44</v>
      </c>
      <c r="C65" s="7" t="s">
        <v>10</v>
      </c>
      <c r="D65" s="9">
        <v>6</v>
      </c>
      <c r="E65" s="8">
        <f>_xlfn.STDEV.S(D65:D67)</f>
        <v>1.0602515424809968</v>
      </c>
      <c r="F65" s="7">
        <v>1</v>
      </c>
      <c r="G65" s="7" t="s">
        <v>42</v>
      </c>
    </row>
    <row r="66" spans="1:7" x14ac:dyDescent="0.2">
      <c r="A66" s="7" t="s">
        <v>43</v>
      </c>
      <c r="B66" s="7" t="s">
        <v>44</v>
      </c>
      <c r="C66" s="7" t="s">
        <v>10</v>
      </c>
      <c r="D66" s="9">
        <v>4.9000000000000004</v>
      </c>
      <c r="E66" s="8">
        <v>1.06</v>
      </c>
      <c r="F66" s="7">
        <v>2</v>
      </c>
      <c r="G66" s="7" t="s">
        <v>42</v>
      </c>
    </row>
    <row r="67" spans="1:7" x14ac:dyDescent="0.2">
      <c r="A67" s="7" t="s">
        <v>43</v>
      </c>
      <c r="B67" s="7" t="s">
        <v>44</v>
      </c>
      <c r="C67" s="7" t="s">
        <v>10</v>
      </c>
      <c r="D67" s="9">
        <v>3.88</v>
      </c>
      <c r="E67" s="8">
        <v>1.06</v>
      </c>
      <c r="F67" s="7">
        <v>3</v>
      </c>
      <c r="G67" s="7" t="s">
        <v>42</v>
      </c>
    </row>
    <row r="68" spans="1:7" x14ac:dyDescent="0.2">
      <c r="A68" s="7" t="s">
        <v>31</v>
      </c>
      <c r="B68" s="7" t="s">
        <v>41</v>
      </c>
      <c r="C68" s="7" t="s">
        <v>13</v>
      </c>
      <c r="D68" s="9">
        <v>167191</v>
      </c>
      <c r="E68" s="8">
        <f>_xlfn.STDEV.S(D68:D70)</f>
        <v>3881.9737677286448</v>
      </c>
      <c r="F68" s="7">
        <v>1</v>
      </c>
      <c r="G68" s="7" t="s">
        <v>42</v>
      </c>
    </row>
    <row r="69" spans="1:7" x14ac:dyDescent="0.2">
      <c r="A69" s="7" t="s">
        <v>31</v>
      </c>
      <c r="B69" s="7" t="s">
        <v>41</v>
      </c>
      <c r="C69" s="7" t="s">
        <v>13</v>
      </c>
      <c r="D69" s="9">
        <v>159631</v>
      </c>
      <c r="E69" s="8">
        <v>3881.9737677286448</v>
      </c>
      <c r="F69" s="7">
        <v>2</v>
      </c>
      <c r="G69" s="7" t="s">
        <v>42</v>
      </c>
    </row>
    <row r="70" spans="1:7" x14ac:dyDescent="0.2">
      <c r="A70" s="7" t="s">
        <v>31</v>
      </c>
      <c r="B70" s="7" t="s">
        <v>41</v>
      </c>
      <c r="C70" s="7" t="s">
        <v>13</v>
      </c>
      <c r="D70" s="9">
        <v>161880</v>
      </c>
      <c r="E70" s="8">
        <v>3881.9737677286448</v>
      </c>
      <c r="F70" s="7">
        <v>3</v>
      </c>
      <c r="G70" s="7" t="s">
        <v>42</v>
      </c>
    </row>
    <row r="71" spans="1:7" x14ac:dyDescent="0.2">
      <c r="A71" s="7" t="s">
        <v>31</v>
      </c>
      <c r="B71" s="7" t="s">
        <v>41</v>
      </c>
      <c r="C71" s="7" t="s">
        <v>36</v>
      </c>
      <c r="D71" s="9">
        <v>15782.830400000001</v>
      </c>
      <c r="E71" s="8">
        <f>_xlfn.STDEV.S(D71:D73)</f>
        <v>1356.1342497817263</v>
      </c>
      <c r="F71" s="7">
        <v>1</v>
      </c>
      <c r="G71" s="7" t="s">
        <v>42</v>
      </c>
    </row>
    <row r="72" spans="1:7" x14ac:dyDescent="0.2">
      <c r="A72" s="7" t="s">
        <v>31</v>
      </c>
      <c r="B72" s="7" t="s">
        <v>41</v>
      </c>
      <c r="C72" s="7" t="s">
        <v>36</v>
      </c>
      <c r="D72" s="9">
        <v>13105.705099999999</v>
      </c>
      <c r="E72" s="8">
        <v>1300.8939234234281</v>
      </c>
      <c r="F72" s="7">
        <v>2</v>
      </c>
      <c r="G72" s="7" t="s">
        <v>42</v>
      </c>
    </row>
    <row r="73" spans="1:7" x14ac:dyDescent="0.2">
      <c r="A73" s="7" t="s">
        <v>31</v>
      </c>
      <c r="B73" s="7" t="s">
        <v>41</v>
      </c>
      <c r="C73" s="7" t="s">
        <v>36</v>
      </c>
      <c r="D73" s="9">
        <v>14067.371999999999</v>
      </c>
      <c r="E73" s="8">
        <v>1300.8939234234281</v>
      </c>
      <c r="F73" s="7">
        <v>3</v>
      </c>
      <c r="G73" s="7" t="s">
        <v>42</v>
      </c>
    </row>
    <row r="74" spans="1:7" x14ac:dyDescent="0.2">
      <c r="A74" s="7" t="s">
        <v>31</v>
      </c>
      <c r="B74" s="7" t="s">
        <v>41</v>
      </c>
      <c r="C74" s="7" t="s">
        <v>11</v>
      </c>
      <c r="D74" s="9">
        <f>D71/D68</f>
        <v>9.4399999999999998E-2</v>
      </c>
      <c r="E74" s="8">
        <f>_xlfn.STDEV.S(D74:D76)</f>
        <v>6.1991934959315506E-3</v>
      </c>
      <c r="F74" s="7">
        <v>1</v>
      </c>
      <c r="G74" s="7" t="s">
        <v>42</v>
      </c>
    </row>
    <row r="75" spans="1:7" x14ac:dyDescent="0.2">
      <c r="A75" s="7" t="s">
        <v>31</v>
      </c>
      <c r="B75" s="7" t="s">
        <v>41</v>
      </c>
      <c r="C75" s="7" t="s">
        <v>11</v>
      </c>
      <c r="D75" s="9">
        <f>D72/D69</f>
        <v>8.2099999999999992E-2</v>
      </c>
      <c r="E75" s="8">
        <v>5.9193247802454274E-3</v>
      </c>
      <c r="F75" s="7">
        <v>2</v>
      </c>
      <c r="G75" s="7" t="s">
        <v>42</v>
      </c>
    </row>
    <row r="76" spans="1:7" x14ac:dyDescent="0.2">
      <c r="A76" s="7" t="s">
        <v>31</v>
      </c>
      <c r="B76" s="7" t="s">
        <v>41</v>
      </c>
      <c r="C76" s="7" t="s">
        <v>11</v>
      </c>
      <c r="D76" s="9">
        <f>D73/D70</f>
        <v>8.6899999999999991E-2</v>
      </c>
      <c r="E76" s="8">
        <v>5.9193247802454274E-3</v>
      </c>
      <c r="F76" s="7">
        <v>3</v>
      </c>
      <c r="G76" s="7" t="s">
        <v>42</v>
      </c>
    </row>
    <row r="77" spans="1:7" x14ac:dyDescent="0.2">
      <c r="A77" s="7" t="s">
        <v>43</v>
      </c>
      <c r="B77" s="7" t="s">
        <v>44</v>
      </c>
      <c r="C77" s="7" t="s">
        <v>13</v>
      </c>
      <c r="D77" s="9">
        <v>231393</v>
      </c>
      <c r="E77" s="8">
        <f>_xlfn.STDEV.S(D77:D79)</f>
        <v>39694.184918364757</v>
      </c>
      <c r="F77" s="7">
        <v>1</v>
      </c>
      <c r="G77" s="7" t="s">
        <v>42</v>
      </c>
    </row>
    <row r="78" spans="1:7" x14ac:dyDescent="0.2">
      <c r="A78" s="7" t="s">
        <v>43</v>
      </c>
      <c r="B78" s="7" t="s">
        <v>44</v>
      </c>
      <c r="C78" s="7" t="s">
        <v>13</v>
      </c>
      <c r="D78" s="9">
        <v>199818</v>
      </c>
      <c r="E78" s="8">
        <v>39694.184918364757</v>
      </c>
      <c r="F78" s="7">
        <v>2</v>
      </c>
      <c r="G78" s="7" t="s">
        <v>42</v>
      </c>
    </row>
    <row r="79" spans="1:7" x14ac:dyDescent="0.2">
      <c r="A79" s="7" t="s">
        <v>43</v>
      </c>
      <c r="B79" s="7" t="s">
        <v>44</v>
      </c>
      <c r="C79" s="7" t="s">
        <v>13</v>
      </c>
      <c r="D79" s="9">
        <v>152525</v>
      </c>
      <c r="E79" s="8">
        <v>39694.184918364757</v>
      </c>
      <c r="F79" s="7">
        <v>3</v>
      </c>
      <c r="G79" s="7" t="s">
        <v>42</v>
      </c>
    </row>
    <row r="80" spans="1:7" x14ac:dyDescent="0.2">
      <c r="A80" s="7" t="s">
        <v>43</v>
      </c>
      <c r="B80" s="7" t="s">
        <v>44</v>
      </c>
      <c r="C80" s="7" t="s">
        <v>36</v>
      </c>
      <c r="D80" s="9">
        <v>22167.449400000001</v>
      </c>
      <c r="E80" s="8">
        <f>_xlfn.STDEV.S(D80:D82)</f>
        <v>5374.6181300266117</v>
      </c>
      <c r="F80" s="7">
        <v>1</v>
      </c>
      <c r="G80" s="7" t="s">
        <v>42</v>
      </c>
    </row>
    <row r="81" spans="1:7" x14ac:dyDescent="0.2">
      <c r="A81" s="7" t="s">
        <v>43</v>
      </c>
      <c r="B81" s="7" t="s">
        <v>44</v>
      </c>
      <c r="C81" s="7" t="s">
        <v>36</v>
      </c>
      <c r="D81" s="9">
        <v>17104.4208</v>
      </c>
      <c r="E81" s="8">
        <v>5239.1775435972113</v>
      </c>
      <c r="F81" s="7">
        <v>2</v>
      </c>
      <c r="G81" s="7" t="s">
        <v>42</v>
      </c>
    </row>
    <row r="82" spans="1:7" x14ac:dyDescent="0.2">
      <c r="A82" s="7" t="s">
        <v>43</v>
      </c>
      <c r="B82" s="7" t="s">
        <v>44</v>
      </c>
      <c r="C82" s="7" t="s">
        <v>36</v>
      </c>
      <c r="D82" s="9">
        <v>11424.122499999999</v>
      </c>
      <c r="E82" s="8">
        <v>5239.1775435972113</v>
      </c>
      <c r="F82" s="7">
        <v>3</v>
      </c>
      <c r="G82" s="7" t="s">
        <v>42</v>
      </c>
    </row>
    <row r="83" spans="1:7" x14ac:dyDescent="0.2">
      <c r="A83" s="7" t="s">
        <v>43</v>
      </c>
      <c r="B83" s="7" t="s">
        <v>44</v>
      </c>
      <c r="C83" s="7" t="s">
        <v>11</v>
      </c>
      <c r="D83" s="9">
        <f>D80/D77</f>
        <v>9.580000000000001E-2</v>
      </c>
      <c r="E83" s="8">
        <f>_xlfn.STDEV.S(D83:D85)</f>
        <v>1.0450996762669746E-2</v>
      </c>
      <c r="F83" s="7">
        <v>1</v>
      </c>
      <c r="G83" s="7" t="s">
        <v>42</v>
      </c>
    </row>
    <row r="84" spans="1:7" x14ac:dyDescent="0.2">
      <c r="A84" s="7" t="s">
        <v>43</v>
      </c>
      <c r="B84" s="7" t="s">
        <v>44</v>
      </c>
      <c r="C84" s="7" t="s">
        <v>11</v>
      </c>
      <c r="D84" s="9">
        <f>D81/D78</f>
        <v>8.5599999999999996E-2</v>
      </c>
      <c r="E84" s="8">
        <v>1.0148049606304239E-2</v>
      </c>
      <c r="F84" s="7">
        <v>2</v>
      </c>
      <c r="G84" s="7" t="s">
        <v>42</v>
      </c>
    </row>
    <row r="85" spans="1:7" x14ac:dyDescent="0.2">
      <c r="A85" s="7" t="s">
        <v>43</v>
      </c>
      <c r="B85" s="7" t="s">
        <v>44</v>
      </c>
      <c r="C85" s="7" t="s">
        <v>11</v>
      </c>
      <c r="D85" s="9">
        <f>D82/D79</f>
        <v>7.4899999999999994E-2</v>
      </c>
      <c r="E85" s="8">
        <v>1.0148049606304239E-2</v>
      </c>
      <c r="F85" s="7">
        <v>3</v>
      </c>
      <c r="G85" s="7" t="s">
        <v>42</v>
      </c>
    </row>
    <row r="86" spans="1:7" x14ac:dyDescent="0.2">
      <c r="A86" s="7" t="s">
        <v>31</v>
      </c>
      <c r="B86" s="7" t="s">
        <v>41</v>
      </c>
      <c r="C86" s="7" t="s">
        <v>12</v>
      </c>
      <c r="D86" s="9">
        <v>167.1</v>
      </c>
      <c r="E86" s="8">
        <f>_xlfn.STDEV.S(D86:D88)</f>
        <v>14.574749854914598</v>
      </c>
      <c r="F86" s="7">
        <v>1</v>
      </c>
      <c r="G86" s="7" t="s">
        <v>42</v>
      </c>
    </row>
    <row r="87" spans="1:7" x14ac:dyDescent="0.2">
      <c r="A87" s="7" t="s">
        <v>31</v>
      </c>
      <c r="B87" s="7" t="s">
        <v>41</v>
      </c>
      <c r="C87" s="7" t="s">
        <v>12</v>
      </c>
      <c r="D87" s="9">
        <v>138.80000000000001</v>
      </c>
      <c r="E87" s="8">
        <v>14.5747</v>
      </c>
      <c r="F87" s="7">
        <v>2</v>
      </c>
      <c r="G87" s="7" t="s">
        <v>42</v>
      </c>
    </row>
    <row r="88" spans="1:7" x14ac:dyDescent="0.2">
      <c r="A88" s="7" t="s">
        <v>31</v>
      </c>
      <c r="B88" s="7" t="s">
        <v>41</v>
      </c>
      <c r="C88" s="7" t="s">
        <v>12</v>
      </c>
      <c r="D88" s="9">
        <v>146.9</v>
      </c>
      <c r="E88" s="8">
        <v>14.5747</v>
      </c>
      <c r="F88" s="7">
        <v>3</v>
      </c>
      <c r="G88" s="7" t="s">
        <v>42</v>
      </c>
    </row>
    <row r="89" spans="1:7" x14ac:dyDescent="0.2">
      <c r="A89" s="7" t="s">
        <v>43</v>
      </c>
      <c r="B89" s="7" t="s">
        <v>44</v>
      </c>
      <c r="C89" s="7" t="s">
        <v>12</v>
      </c>
      <c r="D89" s="9">
        <v>244.7</v>
      </c>
      <c r="E89" s="8">
        <f>_xlfn.STDEV.S(D89:D91)</f>
        <v>61.452529104450512</v>
      </c>
      <c r="F89" s="7">
        <v>1</v>
      </c>
      <c r="G89" s="7" t="s">
        <v>42</v>
      </c>
    </row>
    <row r="90" spans="1:7" x14ac:dyDescent="0.2">
      <c r="A90" s="7" t="s">
        <v>43</v>
      </c>
      <c r="B90" s="7" t="s">
        <v>44</v>
      </c>
      <c r="C90" s="7" t="s">
        <v>12</v>
      </c>
      <c r="D90" s="9">
        <v>187.7</v>
      </c>
      <c r="E90" s="8">
        <v>61.452500000000001</v>
      </c>
      <c r="F90" s="7">
        <v>2</v>
      </c>
      <c r="G90" s="7" t="s">
        <v>42</v>
      </c>
    </row>
    <row r="91" spans="1:7" x14ac:dyDescent="0.2">
      <c r="A91" s="7" t="s">
        <v>43</v>
      </c>
      <c r="B91" s="7" t="s">
        <v>44</v>
      </c>
      <c r="C91" s="7" t="s">
        <v>12</v>
      </c>
      <c r="D91" s="9">
        <v>121.9</v>
      </c>
      <c r="E91" s="8">
        <v>61.452500000000001</v>
      </c>
      <c r="F91" s="7">
        <v>3</v>
      </c>
      <c r="G91" s="7" t="s">
        <v>42</v>
      </c>
    </row>
    <row r="92" spans="1:7" x14ac:dyDescent="0.2">
      <c r="A92" s="7" t="s">
        <v>34</v>
      </c>
      <c r="B92" s="7" t="s">
        <v>45</v>
      </c>
      <c r="C92" s="7" t="s">
        <v>10</v>
      </c>
      <c r="D92" s="9">
        <v>3.78</v>
      </c>
      <c r="E92" s="8">
        <f>_xlfn.STDEV.S(D92:D94)</f>
        <v>0.26627053911388682</v>
      </c>
      <c r="F92" s="7">
        <v>1</v>
      </c>
      <c r="G92" s="7" t="s">
        <v>46</v>
      </c>
    </row>
    <row r="93" spans="1:7" x14ac:dyDescent="0.2">
      <c r="A93" s="7" t="s">
        <v>34</v>
      </c>
      <c r="B93" s="7" t="s">
        <v>45</v>
      </c>
      <c r="C93" s="7" t="s">
        <v>10</v>
      </c>
      <c r="D93" s="9">
        <v>3.47</v>
      </c>
      <c r="E93" s="8">
        <v>0.27</v>
      </c>
      <c r="F93" s="7">
        <v>2</v>
      </c>
      <c r="G93" s="7" t="s">
        <v>46</v>
      </c>
    </row>
    <row r="94" spans="1:7" x14ac:dyDescent="0.2">
      <c r="A94" s="7" t="s">
        <v>34</v>
      </c>
      <c r="B94" s="7" t="s">
        <v>45</v>
      </c>
      <c r="C94" s="7" t="s">
        <v>10</v>
      </c>
      <c r="D94" s="9">
        <v>4</v>
      </c>
      <c r="E94" s="8">
        <v>0.27</v>
      </c>
      <c r="F94" s="7">
        <v>3</v>
      </c>
      <c r="G94" s="7" t="s">
        <v>46</v>
      </c>
    </row>
    <row r="95" spans="1:7" x14ac:dyDescent="0.2">
      <c r="A95" s="7" t="s">
        <v>47</v>
      </c>
      <c r="B95" s="7" t="s">
        <v>48</v>
      </c>
      <c r="C95" s="7" t="s">
        <v>10</v>
      </c>
      <c r="D95" s="9">
        <v>3.89</v>
      </c>
      <c r="E95" s="8">
        <f>_xlfn.STDEV.S(D95:D97)</f>
        <v>1.9950020885536264</v>
      </c>
      <c r="F95" s="7">
        <v>1</v>
      </c>
      <c r="G95" s="7" t="s">
        <v>46</v>
      </c>
    </row>
    <row r="96" spans="1:7" x14ac:dyDescent="0.2">
      <c r="A96" s="7" t="s">
        <v>47</v>
      </c>
      <c r="B96" s="7" t="s">
        <v>48</v>
      </c>
      <c r="C96" s="7" t="s">
        <v>10</v>
      </c>
      <c r="D96" s="9">
        <v>5.89</v>
      </c>
      <c r="E96" s="8">
        <v>2</v>
      </c>
      <c r="F96" s="7">
        <v>2</v>
      </c>
      <c r="G96" s="7" t="s">
        <v>46</v>
      </c>
    </row>
    <row r="97" spans="1:7" x14ac:dyDescent="0.2">
      <c r="A97" s="7" t="s">
        <v>47</v>
      </c>
      <c r="B97" s="7" t="s">
        <v>48</v>
      </c>
      <c r="C97" s="7" t="s">
        <v>10</v>
      </c>
      <c r="D97" s="9">
        <v>7.88</v>
      </c>
      <c r="E97" s="8">
        <v>2</v>
      </c>
      <c r="F97" s="7">
        <v>3</v>
      </c>
      <c r="G97" s="7" t="s">
        <v>46</v>
      </c>
    </row>
    <row r="98" spans="1:7" x14ac:dyDescent="0.2">
      <c r="A98" s="7" t="s">
        <v>34</v>
      </c>
      <c r="B98" s="7" t="s">
        <v>45</v>
      </c>
      <c r="C98" s="7" t="s">
        <v>13</v>
      </c>
      <c r="D98" s="9">
        <v>230051</v>
      </c>
      <c r="E98" s="8">
        <f>_xlfn.STDEV.S(D98:D100)</f>
        <v>2702.4002294256861</v>
      </c>
      <c r="F98" s="7">
        <v>1</v>
      </c>
      <c r="G98" s="7" t="s">
        <v>46</v>
      </c>
    </row>
    <row r="99" spans="1:7" x14ac:dyDescent="0.2">
      <c r="A99" s="7" t="s">
        <v>34</v>
      </c>
      <c r="B99" s="7" t="s">
        <v>45</v>
      </c>
      <c r="C99" s="7" t="s">
        <v>13</v>
      </c>
      <c r="D99" s="9">
        <v>226002</v>
      </c>
      <c r="E99" s="8">
        <v>2702.4002294256861</v>
      </c>
      <c r="F99" s="7">
        <v>2</v>
      </c>
      <c r="G99" s="7" t="s">
        <v>46</v>
      </c>
    </row>
    <row r="100" spans="1:7" x14ac:dyDescent="0.2">
      <c r="A100" s="7" t="s">
        <v>34</v>
      </c>
      <c r="B100" s="7" t="s">
        <v>45</v>
      </c>
      <c r="C100" s="7" t="s">
        <v>13</v>
      </c>
      <c r="D100" s="9">
        <v>231127</v>
      </c>
      <c r="E100" s="8">
        <v>2702.4002294256861</v>
      </c>
      <c r="F100" s="7">
        <v>3</v>
      </c>
      <c r="G100" s="7" t="s">
        <v>46</v>
      </c>
    </row>
    <row r="101" spans="1:7" x14ac:dyDescent="0.2">
      <c r="A101" s="7" t="s">
        <v>34</v>
      </c>
      <c r="B101" s="7" t="s">
        <v>45</v>
      </c>
      <c r="C101" s="7" t="s">
        <v>36</v>
      </c>
      <c r="D101" s="9">
        <v>33035.323600000003</v>
      </c>
      <c r="E101" s="8">
        <f>_xlfn.STDEV.S(D101:D103)</f>
        <v>1851.0687397648651</v>
      </c>
      <c r="F101" s="7">
        <v>1</v>
      </c>
      <c r="G101" s="7" t="s">
        <v>46</v>
      </c>
    </row>
    <row r="102" spans="1:7" x14ac:dyDescent="0.2">
      <c r="A102" s="7" t="s">
        <v>34</v>
      </c>
      <c r="B102" s="7" t="s">
        <v>45</v>
      </c>
      <c r="C102" s="7" t="s">
        <v>36</v>
      </c>
      <c r="D102" s="9">
        <v>29425.4604</v>
      </c>
      <c r="E102" s="8">
        <v>1812.9231460084934</v>
      </c>
      <c r="F102" s="7">
        <v>2</v>
      </c>
      <c r="G102" s="7" t="s">
        <v>46</v>
      </c>
    </row>
    <row r="103" spans="1:7" x14ac:dyDescent="0.2">
      <c r="A103" s="7" t="s">
        <v>34</v>
      </c>
      <c r="B103" s="7" t="s">
        <v>45</v>
      </c>
      <c r="C103" s="7" t="s">
        <v>36</v>
      </c>
      <c r="D103" s="9">
        <v>31941.751400000001</v>
      </c>
      <c r="E103" s="8">
        <v>1812.9231460084934</v>
      </c>
      <c r="F103" s="7">
        <v>3</v>
      </c>
      <c r="G103" s="7" t="s">
        <v>46</v>
      </c>
    </row>
    <row r="104" spans="1:7" x14ac:dyDescent="0.2">
      <c r="A104" s="7" t="s">
        <v>34</v>
      </c>
      <c r="B104" s="7" t="s">
        <v>45</v>
      </c>
      <c r="C104" s="7" t="s">
        <v>11</v>
      </c>
      <c r="D104" s="9">
        <f>D101/D98</f>
        <v>0.14360000000000001</v>
      </c>
      <c r="E104" s="8">
        <f>_xlfn.STDEV.S(D104:D106)</f>
        <v>6.7419087307181279E-3</v>
      </c>
      <c r="F104" s="7">
        <v>1</v>
      </c>
      <c r="G104" s="7" t="s">
        <v>46</v>
      </c>
    </row>
    <row r="105" spans="1:7" x14ac:dyDescent="0.2">
      <c r="A105" s="7" t="s">
        <v>34</v>
      </c>
      <c r="B105" s="7" t="s">
        <v>45</v>
      </c>
      <c r="C105" s="7" t="s">
        <v>11</v>
      </c>
      <c r="D105" s="9">
        <f>D102/D99</f>
        <v>0.13020000000000001</v>
      </c>
      <c r="E105" s="8">
        <v>6.6E-3</v>
      </c>
      <c r="F105" s="7">
        <v>2</v>
      </c>
      <c r="G105" s="7" t="s">
        <v>46</v>
      </c>
    </row>
    <row r="106" spans="1:7" x14ac:dyDescent="0.2">
      <c r="A106" s="7" t="s">
        <v>34</v>
      </c>
      <c r="B106" s="7" t="s">
        <v>45</v>
      </c>
      <c r="C106" s="7" t="s">
        <v>11</v>
      </c>
      <c r="D106" s="9">
        <f>D103/D100</f>
        <v>0.13820000000000002</v>
      </c>
      <c r="E106" s="8">
        <v>6.6E-3</v>
      </c>
      <c r="F106" s="7">
        <v>3</v>
      </c>
      <c r="G106" s="7" t="s">
        <v>46</v>
      </c>
    </row>
    <row r="107" spans="1:7" x14ac:dyDescent="0.2">
      <c r="A107" s="7" t="s">
        <v>47</v>
      </c>
      <c r="B107" s="7" t="s">
        <v>48</v>
      </c>
      <c r="C107" s="7" t="s">
        <v>13</v>
      </c>
      <c r="D107" s="9">
        <v>249098</v>
      </c>
      <c r="E107" s="8">
        <f>_xlfn.STDEV.S(D107:D109)</f>
        <v>57745.827012290189</v>
      </c>
      <c r="F107" s="7">
        <v>1</v>
      </c>
      <c r="G107" s="7" t="s">
        <v>46</v>
      </c>
    </row>
    <row r="108" spans="1:7" x14ac:dyDescent="0.2">
      <c r="A108" s="7" t="s">
        <v>47</v>
      </c>
      <c r="B108" s="7" t="s">
        <v>48</v>
      </c>
      <c r="C108" s="7" t="s">
        <v>13</v>
      </c>
      <c r="D108" s="9">
        <v>334302</v>
      </c>
      <c r="E108" s="8">
        <v>57745.827012290189</v>
      </c>
      <c r="F108" s="7">
        <v>2</v>
      </c>
      <c r="G108" s="7" t="s">
        <v>46</v>
      </c>
    </row>
    <row r="109" spans="1:7" x14ac:dyDescent="0.2">
      <c r="A109" s="7" t="s">
        <v>47</v>
      </c>
      <c r="B109" s="7" t="s">
        <v>48</v>
      </c>
      <c r="C109" s="7" t="s">
        <v>13</v>
      </c>
      <c r="D109" s="9">
        <v>359220</v>
      </c>
      <c r="E109" s="8">
        <v>57745.827012290189</v>
      </c>
      <c r="F109" s="7">
        <v>3</v>
      </c>
      <c r="G109" s="7" t="s">
        <v>46</v>
      </c>
    </row>
    <row r="110" spans="1:7" x14ac:dyDescent="0.2">
      <c r="A110" s="7" t="s">
        <v>47</v>
      </c>
      <c r="B110" s="7" t="s">
        <v>48</v>
      </c>
      <c r="C110" s="7" t="s">
        <v>36</v>
      </c>
      <c r="D110" s="9">
        <v>31012.701000000001</v>
      </c>
      <c r="E110" s="8">
        <f>_xlfn.STDEV.S(D110:D112)</f>
        <v>7348.8162143284662</v>
      </c>
      <c r="F110" s="7">
        <v>1</v>
      </c>
      <c r="G110" s="7" t="s">
        <v>46</v>
      </c>
    </row>
    <row r="111" spans="1:7" x14ac:dyDescent="0.2">
      <c r="A111" s="7" t="s">
        <v>47</v>
      </c>
      <c r="B111" s="7" t="s">
        <v>48</v>
      </c>
      <c r="C111" s="7" t="s">
        <v>36</v>
      </c>
      <c r="D111" s="9">
        <v>40651.123200000002</v>
      </c>
      <c r="E111" s="8">
        <v>7124.9290756704022</v>
      </c>
      <c r="F111" s="7">
        <v>2</v>
      </c>
      <c r="G111" s="7" t="s">
        <v>46</v>
      </c>
    </row>
    <row r="112" spans="1:7" x14ac:dyDescent="0.2">
      <c r="A112" s="7" t="s">
        <v>47</v>
      </c>
      <c r="B112" s="7" t="s">
        <v>48</v>
      </c>
      <c r="C112" s="7" t="s">
        <v>36</v>
      </c>
      <c r="D112" s="9">
        <v>45441.33</v>
      </c>
      <c r="E112" s="8">
        <v>7124.9290756704022</v>
      </c>
      <c r="F112" s="7">
        <v>3</v>
      </c>
      <c r="G112" s="7" t="s">
        <v>46</v>
      </c>
    </row>
    <row r="113" spans="1:7" x14ac:dyDescent="0.2">
      <c r="A113" s="7" t="s">
        <v>47</v>
      </c>
      <c r="B113" s="7" t="s">
        <v>48</v>
      </c>
      <c r="C113" s="7" t="s">
        <v>11</v>
      </c>
      <c r="D113" s="9">
        <f>D110/D107</f>
        <v>0.1245</v>
      </c>
      <c r="E113" s="8">
        <f>_xlfn.STDEV.S(D113:D115)</f>
        <v>2.4637369989509842E-3</v>
      </c>
      <c r="F113" s="7">
        <v>1</v>
      </c>
      <c r="G113" s="7" t="s">
        <v>46</v>
      </c>
    </row>
    <row r="114" spans="1:7" x14ac:dyDescent="0.2">
      <c r="A114" s="7" t="s">
        <v>47</v>
      </c>
      <c r="B114" s="7" t="s">
        <v>48</v>
      </c>
      <c r="C114" s="7" t="s">
        <v>11</v>
      </c>
      <c r="D114" s="9">
        <f>D111/D108</f>
        <v>0.1216</v>
      </c>
      <c r="E114" s="8">
        <v>2.5860707197790283E-3</v>
      </c>
      <c r="F114" s="7">
        <v>2</v>
      </c>
      <c r="G114" s="7" t="s">
        <v>46</v>
      </c>
    </row>
    <row r="115" spans="1:7" x14ac:dyDescent="0.2">
      <c r="A115" s="7" t="s">
        <v>47</v>
      </c>
      <c r="B115" s="7" t="s">
        <v>48</v>
      </c>
      <c r="C115" s="7" t="s">
        <v>11</v>
      </c>
      <c r="D115" s="9">
        <f>D112/D109</f>
        <v>0.1265</v>
      </c>
      <c r="E115" s="8">
        <v>2.5860707197790283E-3</v>
      </c>
      <c r="F115" s="7">
        <v>3</v>
      </c>
      <c r="G115" s="7" t="s">
        <v>46</v>
      </c>
    </row>
    <row r="116" spans="1:7" x14ac:dyDescent="0.2">
      <c r="A116" s="7" t="s">
        <v>34</v>
      </c>
      <c r="B116" s="7" t="s">
        <v>45</v>
      </c>
      <c r="C116" s="7" t="s">
        <v>12</v>
      </c>
      <c r="D116" s="9">
        <v>344.6</v>
      </c>
      <c r="E116" s="8">
        <f>_xlfn.STDEV.S(D116:D118)</f>
        <v>17.125808983324948</v>
      </c>
      <c r="F116" s="7">
        <v>1</v>
      </c>
      <c r="G116" s="7" t="s">
        <v>46</v>
      </c>
    </row>
    <row r="117" spans="1:7" x14ac:dyDescent="0.2">
      <c r="A117" s="7" t="s">
        <v>34</v>
      </c>
      <c r="B117" s="7" t="s">
        <v>45</v>
      </c>
      <c r="C117" s="7" t="s">
        <v>12</v>
      </c>
      <c r="D117" s="9">
        <v>312</v>
      </c>
      <c r="E117" s="8">
        <v>17.125800000000002</v>
      </c>
      <c r="F117" s="7">
        <v>2</v>
      </c>
      <c r="G117" s="7" t="s">
        <v>46</v>
      </c>
    </row>
    <row r="118" spans="1:7" x14ac:dyDescent="0.2">
      <c r="A118" s="7" t="s">
        <v>34</v>
      </c>
      <c r="B118" s="7" t="s">
        <v>45</v>
      </c>
      <c r="C118" s="7" t="s">
        <v>12</v>
      </c>
      <c r="D118" s="9">
        <v>337.4</v>
      </c>
      <c r="E118" s="8">
        <v>17.125800000000002</v>
      </c>
      <c r="F118" s="7">
        <v>3</v>
      </c>
      <c r="G118" s="7" t="s">
        <v>46</v>
      </c>
    </row>
    <row r="119" spans="1:7" x14ac:dyDescent="0.2">
      <c r="A119" s="7" t="s">
        <v>47</v>
      </c>
      <c r="B119" s="7" t="s">
        <v>48</v>
      </c>
      <c r="C119" s="7" t="s">
        <v>12</v>
      </c>
      <c r="D119" s="9">
        <v>323.39999999999998</v>
      </c>
      <c r="E119" s="8">
        <f>_xlfn.STDEV.S(D119:D121)</f>
        <v>83.135972959965144</v>
      </c>
      <c r="F119" s="7">
        <v>1</v>
      </c>
      <c r="G119" s="7" t="s">
        <v>46</v>
      </c>
    </row>
    <row r="120" spans="1:7" x14ac:dyDescent="0.2">
      <c r="A120" s="7" t="s">
        <v>47</v>
      </c>
      <c r="B120" s="7" t="s">
        <v>48</v>
      </c>
      <c r="C120" s="7" t="s">
        <v>12</v>
      </c>
      <c r="D120" s="9">
        <v>439</v>
      </c>
      <c r="E120" s="8">
        <v>83.135999999999996</v>
      </c>
      <c r="F120" s="7">
        <v>2</v>
      </c>
      <c r="G120" s="7" t="s">
        <v>46</v>
      </c>
    </row>
    <row r="121" spans="1:7" x14ac:dyDescent="0.2">
      <c r="A121" s="7" t="s">
        <v>47</v>
      </c>
      <c r="B121" s="7" t="s">
        <v>48</v>
      </c>
      <c r="C121" s="7" t="s">
        <v>12</v>
      </c>
      <c r="D121" s="9">
        <v>484.7</v>
      </c>
      <c r="E121" s="8">
        <v>83.135999999999996</v>
      </c>
      <c r="F121" s="7">
        <v>3</v>
      </c>
      <c r="G121" s="7" t="s">
        <v>46</v>
      </c>
    </row>
    <row r="122" spans="1:7" x14ac:dyDescent="0.2">
      <c r="A122" s="7" t="s">
        <v>34</v>
      </c>
      <c r="B122" s="7" t="s">
        <v>49</v>
      </c>
      <c r="C122" s="7" t="s">
        <v>10</v>
      </c>
      <c r="D122" s="9">
        <v>3.78</v>
      </c>
      <c r="E122" s="8">
        <f>_xlfn.STDEV.S(D122:D124)</f>
        <v>0.26627053911388682</v>
      </c>
      <c r="F122" s="7">
        <v>1</v>
      </c>
      <c r="G122" s="7" t="s">
        <v>50</v>
      </c>
    </row>
    <row r="123" spans="1:7" x14ac:dyDescent="0.2">
      <c r="A123" s="7" t="s">
        <v>34</v>
      </c>
      <c r="B123" s="7" t="s">
        <v>49</v>
      </c>
      <c r="C123" s="7" t="s">
        <v>10</v>
      </c>
      <c r="D123" s="9">
        <v>3.47</v>
      </c>
      <c r="E123" s="8">
        <v>0.27</v>
      </c>
      <c r="F123" s="7">
        <v>2</v>
      </c>
      <c r="G123" s="7" t="s">
        <v>50</v>
      </c>
    </row>
    <row r="124" spans="1:7" x14ac:dyDescent="0.2">
      <c r="A124" s="7" t="s">
        <v>34</v>
      </c>
      <c r="B124" s="7" t="s">
        <v>49</v>
      </c>
      <c r="C124" s="7" t="s">
        <v>10</v>
      </c>
      <c r="D124" s="9">
        <v>4</v>
      </c>
      <c r="E124" s="8">
        <v>0.27</v>
      </c>
      <c r="F124" s="7">
        <v>3</v>
      </c>
      <c r="G124" s="7" t="s">
        <v>50</v>
      </c>
    </row>
    <row r="125" spans="1:7" x14ac:dyDescent="0.2">
      <c r="A125" s="7" t="s">
        <v>51</v>
      </c>
      <c r="B125" s="7" t="s">
        <v>52</v>
      </c>
      <c r="C125" s="7" t="s">
        <v>10</v>
      </c>
      <c r="D125" s="9">
        <v>2.84</v>
      </c>
      <c r="E125" s="8">
        <f>_xlfn.STDEV.S(D125:D126)</f>
        <v>0.36062445840513907</v>
      </c>
      <c r="F125" s="7">
        <v>1</v>
      </c>
      <c r="G125" s="7" t="s">
        <v>50</v>
      </c>
    </row>
    <row r="126" spans="1:7" x14ac:dyDescent="0.2">
      <c r="A126" s="7" t="s">
        <v>51</v>
      </c>
      <c r="B126" s="7" t="s">
        <v>52</v>
      </c>
      <c r="C126" s="7" t="s">
        <v>10</v>
      </c>
      <c r="D126" s="9">
        <v>2.33</v>
      </c>
      <c r="E126" s="8">
        <v>0.36</v>
      </c>
      <c r="F126" s="7">
        <v>2</v>
      </c>
      <c r="G126" s="7" t="s">
        <v>50</v>
      </c>
    </row>
    <row r="127" spans="1:7" x14ac:dyDescent="0.2">
      <c r="A127" s="7" t="s">
        <v>34</v>
      </c>
      <c r="B127" s="7" t="s">
        <v>49</v>
      </c>
      <c r="C127" s="7" t="s">
        <v>13</v>
      </c>
      <c r="D127" s="9">
        <v>230051</v>
      </c>
      <c r="E127" s="8">
        <f>_xlfn.STDEV.S(D127:D129)</f>
        <v>2702.4002294256861</v>
      </c>
      <c r="F127" s="7">
        <v>1</v>
      </c>
      <c r="G127" s="7" t="s">
        <v>50</v>
      </c>
    </row>
    <row r="128" spans="1:7" x14ac:dyDescent="0.2">
      <c r="A128" s="7" t="s">
        <v>34</v>
      </c>
      <c r="B128" s="7" t="s">
        <v>49</v>
      </c>
      <c r="C128" s="7" t="s">
        <v>13</v>
      </c>
      <c r="D128" s="9">
        <v>226002</v>
      </c>
      <c r="E128" s="8">
        <v>2702.4002294256861</v>
      </c>
      <c r="F128" s="7">
        <v>2</v>
      </c>
      <c r="G128" s="7" t="s">
        <v>50</v>
      </c>
    </row>
    <row r="129" spans="1:7" x14ac:dyDescent="0.2">
      <c r="A129" s="7" t="s">
        <v>34</v>
      </c>
      <c r="B129" s="7" t="s">
        <v>49</v>
      </c>
      <c r="C129" s="7" t="s">
        <v>13</v>
      </c>
      <c r="D129" s="9">
        <v>231127</v>
      </c>
      <c r="E129" s="8">
        <v>2702.4002294256861</v>
      </c>
      <c r="F129" s="7">
        <v>3</v>
      </c>
      <c r="G129" s="7" t="s">
        <v>50</v>
      </c>
    </row>
    <row r="130" spans="1:7" x14ac:dyDescent="0.2">
      <c r="A130" s="7" t="s">
        <v>34</v>
      </c>
      <c r="B130" s="7" t="s">
        <v>49</v>
      </c>
      <c r="C130" s="7" t="s">
        <v>36</v>
      </c>
      <c r="D130" s="9">
        <v>33035.323600000003</v>
      </c>
      <c r="E130" s="8">
        <f>_xlfn.STDEV.S(D130:D132)</f>
        <v>1851.0687397648651</v>
      </c>
      <c r="F130" s="7">
        <v>1</v>
      </c>
      <c r="G130" s="7" t="s">
        <v>50</v>
      </c>
    </row>
    <row r="131" spans="1:7" x14ac:dyDescent="0.2">
      <c r="A131" s="7" t="s">
        <v>34</v>
      </c>
      <c r="B131" s="7" t="s">
        <v>49</v>
      </c>
      <c r="C131" s="7" t="s">
        <v>36</v>
      </c>
      <c r="D131" s="9">
        <v>29425.4604</v>
      </c>
      <c r="E131" s="8">
        <v>1812.9231460084934</v>
      </c>
      <c r="F131" s="7">
        <v>2</v>
      </c>
      <c r="G131" s="7" t="s">
        <v>50</v>
      </c>
    </row>
    <row r="132" spans="1:7" x14ac:dyDescent="0.2">
      <c r="A132" s="7" t="s">
        <v>34</v>
      </c>
      <c r="B132" s="7" t="s">
        <v>49</v>
      </c>
      <c r="C132" s="7" t="s">
        <v>36</v>
      </c>
      <c r="D132" s="9">
        <v>31941.751400000001</v>
      </c>
      <c r="E132" s="8">
        <v>1812.9231460084934</v>
      </c>
      <c r="F132" s="7">
        <v>3</v>
      </c>
      <c r="G132" s="7" t="s">
        <v>50</v>
      </c>
    </row>
    <row r="133" spans="1:7" x14ac:dyDescent="0.2">
      <c r="A133" s="7" t="s">
        <v>34</v>
      </c>
      <c r="B133" s="7" t="s">
        <v>49</v>
      </c>
      <c r="C133" s="7" t="s">
        <v>11</v>
      </c>
      <c r="D133" s="9">
        <f>D130/D127</f>
        <v>0.14360000000000001</v>
      </c>
      <c r="E133" s="8">
        <f>_xlfn.STDEV.S(D133:D135)</f>
        <v>6.7419087307181279E-3</v>
      </c>
      <c r="F133" s="7">
        <v>1</v>
      </c>
      <c r="G133" s="7" t="s">
        <v>50</v>
      </c>
    </row>
    <row r="134" spans="1:7" x14ac:dyDescent="0.2">
      <c r="A134" s="7" t="s">
        <v>34</v>
      </c>
      <c r="B134" s="7" t="s">
        <v>49</v>
      </c>
      <c r="C134" s="7" t="s">
        <v>11</v>
      </c>
      <c r="D134" s="9">
        <f>D131/D128</f>
        <v>0.13020000000000001</v>
      </c>
      <c r="E134" s="8">
        <v>6.6E-3</v>
      </c>
      <c r="F134" s="7">
        <v>2</v>
      </c>
      <c r="G134" s="7" t="s">
        <v>50</v>
      </c>
    </row>
    <row r="135" spans="1:7" x14ac:dyDescent="0.2">
      <c r="A135" s="7" t="s">
        <v>34</v>
      </c>
      <c r="B135" s="7" t="s">
        <v>49</v>
      </c>
      <c r="C135" s="7" t="s">
        <v>11</v>
      </c>
      <c r="D135" s="9">
        <f>D132/D129</f>
        <v>0.13820000000000002</v>
      </c>
      <c r="E135" s="8">
        <v>6.6E-3</v>
      </c>
      <c r="F135" s="7">
        <v>3</v>
      </c>
      <c r="G135" s="7" t="s">
        <v>50</v>
      </c>
    </row>
    <row r="136" spans="1:7" x14ac:dyDescent="0.2">
      <c r="A136" s="7" t="s">
        <v>51</v>
      </c>
      <c r="B136" s="7" t="s">
        <v>52</v>
      </c>
      <c r="C136" s="7" t="s">
        <v>13</v>
      </c>
      <c r="D136" s="9">
        <v>312042</v>
      </c>
      <c r="E136" s="8">
        <f>_xlfn.STDEV.S(D136:D137)</f>
        <v>80676.641092697959</v>
      </c>
      <c r="F136" s="7">
        <v>1</v>
      </c>
      <c r="G136" s="7" t="s">
        <v>50</v>
      </c>
    </row>
    <row r="137" spans="1:7" x14ac:dyDescent="0.2">
      <c r="A137" s="7" t="s">
        <v>51</v>
      </c>
      <c r="B137" s="7" t="s">
        <v>52</v>
      </c>
      <c r="C137" s="7" t="s">
        <v>13</v>
      </c>
      <c r="D137" s="9">
        <v>197948</v>
      </c>
      <c r="E137" s="8">
        <v>80676.641092697959</v>
      </c>
      <c r="F137" s="7">
        <v>2</v>
      </c>
      <c r="G137" s="7" t="s">
        <v>50</v>
      </c>
    </row>
    <row r="138" spans="1:7" x14ac:dyDescent="0.2">
      <c r="A138" s="7" t="s">
        <v>51</v>
      </c>
      <c r="B138" s="7" t="s">
        <v>52</v>
      </c>
      <c r="C138" s="7" t="s">
        <v>36</v>
      </c>
      <c r="D138" s="9">
        <v>42999.387600000002</v>
      </c>
      <c r="E138" s="8">
        <f>_xlfn.STDEV.S(D138:D139)</f>
        <v>13832.666381146686</v>
      </c>
      <c r="F138" s="7">
        <v>1</v>
      </c>
      <c r="G138" s="7" t="s">
        <v>50</v>
      </c>
    </row>
    <row r="139" spans="1:7" x14ac:dyDescent="0.2">
      <c r="A139" s="7" t="s">
        <v>51</v>
      </c>
      <c r="B139" s="7" t="s">
        <v>52</v>
      </c>
      <c r="C139" s="7" t="s">
        <v>36</v>
      </c>
      <c r="D139" s="9">
        <v>23437.0432</v>
      </c>
      <c r="E139" s="8">
        <v>13457.656259542373</v>
      </c>
      <c r="F139" s="7">
        <v>2</v>
      </c>
      <c r="G139" s="7" t="s">
        <v>50</v>
      </c>
    </row>
    <row r="140" spans="1:7" x14ac:dyDescent="0.2">
      <c r="A140" s="7" t="s">
        <v>51</v>
      </c>
      <c r="B140" s="7" t="s">
        <v>52</v>
      </c>
      <c r="C140" s="7" t="s">
        <v>11</v>
      </c>
      <c r="D140" s="9">
        <f>D138/D136</f>
        <v>0.13780000000000001</v>
      </c>
      <c r="E140" s="8">
        <f>_xlfn.STDEV.S(D140:D141)</f>
        <v>1.3717871555019022E-2</v>
      </c>
      <c r="F140" s="7">
        <v>1</v>
      </c>
      <c r="G140" s="7" t="s">
        <v>50</v>
      </c>
    </row>
    <row r="141" spans="1:7" x14ac:dyDescent="0.2">
      <c r="A141" s="7" t="s">
        <v>51</v>
      </c>
      <c r="B141" s="7" t="s">
        <v>52</v>
      </c>
      <c r="C141" s="7" t="s">
        <v>11</v>
      </c>
      <c r="D141" s="9">
        <f>D139/D137</f>
        <v>0.11840000000000001</v>
      </c>
      <c r="E141" s="8">
        <v>1.3043807399190139E-2</v>
      </c>
      <c r="F141" s="7">
        <v>2</v>
      </c>
      <c r="G141" s="7" t="s">
        <v>50</v>
      </c>
    </row>
    <row r="142" spans="1:7" x14ac:dyDescent="0.2">
      <c r="A142" s="7" t="s">
        <v>34</v>
      </c>
      <c r="B142" s="7" t="s">
        <v>49</v>
      </c>
      <c r="C142" s="7" t="s">
        <v>12</v>
      </c>
      <c r="D142" s="9">
        <v>344.6</v>
      </c>
      <c r="E142" s="8">
        <f>_xlfn.STDEV.S(D142:D144)</f>
        <v>17.125808983324948</v>
      </c>
      <c r="F142" s="7">
        <v>1</v>
      </c>
      <c r="G142" s="7" t="s">
        <v>50</v>
      </c>
    </row>
    <row r="143" spans="1:7" x14ac:dyDescent="0.2">
      <c r="A143" s="7" t="s">
        <v>34</v>
      </c>
      <c r="B143" s="7" t="s">
        <v>49</v>
      </c>
      <c r="C143" s="7" t="s">
        <v>12</v>
      </c>
      <c r="D143" s="9">
        <v>312</v>
      </c>
      <c r="E143" s="8">
        <v>17.125800000000002</v>
      </c>
      <c r="F143" s="7">
        <v>2</v>
      </c>
      <c r="G143" s="7" t="s">
        <v>50</v>
      </c>
    </row>
    <row r="144" spans="1:7" x14ac:dyDescent="0.2">
      <c r="A144" s="7" t="s">
        <v>34</v>
      </c>
      <c r="B144" s="7" t="s">
        <v>49</v>
      </c>
      <c r="C144" s="7" t="s">
        <v>12</v>
      </c>
      <c r="D144" s="9">
        <v>337.4</v>
      </c>
      <c r="E144" s="8">
        <v>17.125800000000002</v>
      </c>
      <c r="F144" s="7">
        <v>3</v>
      </c>
      <c r="G144" s="7" t="s">
        <v>50</v>
      </c>
    </row>
    <row r="145" spans="1:7" x14ac:dyDescent="0.2">
      <c r="A145" s="7" t="s">
        <v>51</v>
      </c>
      <c r="B145" s="7" t="s">
        <v>52</v>
      </c>
      <c r="C145" s="7" t="s">
        <v>12</v>
      </c>
      <c r="D145" s="9">
        <v>434.5</v>
      </c>
      <c r="E145" s="8">
        <f>_xlfn.STDEV.S(D145:D146)</f>
        <v>143.04770183403843</v>
      </c>
      <c r="F145" s="7">
        <v>1</v>
      </c>
      <c r="G145" s="7" t="s">
        <v>50</v>
      </c>
    </row>
    <row r="146" spans="1:7" x14ac:dyDescent="0.2">
      <c r="A146" s="7" t="s">
        <v>51</v>
      </c>
      <c r="B146" s="7" t="s">
        <v>52</v>
      </c>
      <c r="C146" s="7" t="s">
        <v>12</v>
      </c>
      <c r="D146" s="9">
        <v>232.2</v>
      </c>
      <c r="E146" s="8">
        <v>143.04769999999999</v>
      </c>
      <c r="F146" s="7">
        <v>2</v>
      </c>
      <c r="G146" s="7" t="s">
        <v>50</v>
      </c>
    </row>
  </sheetData>
  <conditionalFormatting sqref="D26:D28">
    <cfRule type="colorScale" priority="9">
      <colorScale>
        <cfvo type="num" val="&quot;0$C$44&quot;"/>
        <cfvo type="num" val="&quot;0$C$74&quot;"/>
        <color rgb="FFFF7128"/>
        <color rgb="FFFFEF9C"/>
      </colorScale>
    </cfRule>
  </conditionalFormatting>
  <conditionalFormatting sqref="D29:D31">
    <cfRule type="colorScale" priority="8">
      <colorScale>
        <cfvo type="num" val="&quot;0$C$44&quot;"/>
        <cfvo type="num" val="&quot;0$C$74&quot;"/>
        <color rgb="FFFF7128"/>
        <color rgb="FFFFEF9C"/>
      </colorScale>
    </cfRule>
  </conditionalFormatting>
  <conditionalFormatting sqref="D56:D58">
    <cfRule type="colorScale" priority="7">
      <colorScale>
        <cfvo type="num" val="&quot;0$C$44&quot;"/>
        <cfvo type="num" val="&quot;0$C$74&quot;"/>
        <color rgb="FFFF7128"/>
        <color rgb="FFFFEF9C"/>
      </colorScale>
    </cfRule>
  </conditionalFormatting>
  <conditionalFormatting sqref="D59:D61">
    <cfRule type="colorScale" priority="6">
      <colorScale>
        <cfvo type="num" val="&quot;0$C$44&quot;"/>
        <cfvo type="num" val="&quot;0$C$74&quot;"/>
        <color rgb="FFFF7128"/>
        <color rgb="FFFFEF9C"/>
      </colorScale>
    </cfRule>
  </conditionalFormatting>
  <conditionalFormatting sqref="D86:D91">
    <cfRule type="colorScale" priority="5">
      <colorScale>
        <cfvo type="num" val="&quot;0$C$44&quot;"/>
        <cfvo type="num" val="&quot;0$C$74&quot;"/>
        <color rgb="FFFF7128"/>
        <color rgb="FFFFEF9C"/>
      </colorScale>
    </cfRule>
  </conditionalFormatting>
  <conditionalFormatting sqref="D116:D118">
    <cfRule type="colorScale" priority="4">
      <colorScale>
        <cfvo type="num" val="&quot;0$C$44&quot;"/>
        <cfvo type="num" val="&quot;0$C$74&quot;"/>
        <color rgb="FFFF7128"/>
        <color rgb="FFFFEF9C"/>
      </colorScale>
    </cfRule>
  </conditionalFormatting>
  <conditionalFormatting sqref="D119:D121">
    <cfRule type="colorScale" priority="3">
      <colorScale>
        <cfvo type="num" val="&quot;0$C$44&quot;"/>
        <cfvo type="num" val="&quot;0$C$74&quot;"/>
        <color rgb="FFFF7128"/>
        <color rgb="FFFFEF9C"/>
      </colorScale>
    </cfRule>
  </conditionalFormatting>
  <conditionalFormatting sqref="D142:D144">
    <cfRule type="colorScale" priority="2">
      <colorScale>
        <cfvo type="num" val="&quot;0$C$44&quot;"/>
        <cfvo type="num" val="&quot;0$C$74&quot;"/>
        <color rgb="FFFF7128"/>
        <color rgb="FFFFEF9C"/>
      </colorScale>
    </cfRule>
  </conditionalFormatting>
  <conditionalFormatting sqref="D145">
    <cfRule type="colorScale" priority="1">
      <colorScale>
        <cfvo type="num" val="&quot;0$C$44&quot;"/>
        <cfvo type="num" val="&quot;0$C$74&quot;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9371-0663-5B4B-9463-F11074B0605D}">
  <dimension ref="A1:L20"/>
  <sheetViews>
    <sheetView workbookViewId="0">
      <selection activeCell="A21" sqref="A21"/>
    </sheetView>
  </sheetViews>
  <sheetFormatPr baseColWidth="10" defaultRowHeight="16" x14ac:dyDescent="0.2"/>
  <cols>
    <col min="1" max="1" width="60.33203125" style="3" customWidth="1"/>
    <col min="2" max="2" width="14.6640625" style="3" customWidth="1"/>
    <col min="3" max="3" width="7.33203125" style="3" customWidth="1"/>
    <col min="4" max="4" width="13" style="3" customWidth="1"/>
    <col min="5" max="5" width="9" style="3" customWidth="1"/>
    <col min="6" max="6" width="7.6640625" style="3" customWidth="1"/>
    <col min="7" max="7" width="30.33203125" style="3" customWidth="1"/>
    <col min="8" max="8" width="40.5" style="3" customWidth="1"/>
    <col min="9" max="16384" width="10.83203125" style="3"/>
  </cols>
  <sheetData>
    <row r="1" spans="1:11" customFormat="1" x14ac:dyDescent="0.2">
      <c r="A1" s="6" t="s">
        <v>0</v>
      </c>
      <c r="B1" s="6" t="s">
        <v>16</v>
      </c>
      <c r="C1" s="12" t="s">
        <v>3</v>
      </c>
      <c r="D1" s="11" t="s">
        <v>4</v>
      </c>
      <c r="E1" s="6" t="s">
        <v>5</v>
      </c>
      <c r="F1" s="6" t="s">
        <v>17</v>
      </c>
      <c r="G1" s="6" t="s">
        <v>6</v>
      </c>
      <c r="H1" s="6" t="s">
        <v>18</v>
      </c>
      <c r="I1" s="6" t="s">
        <v>1</v>
      </c>
      <c r="K1" s="5"/>
    </row>
    <row r="2" spans="1:11" x14ac:dyDescent="0.2">
      <c r="A2" s="7" t="s">
        <v>19</v>
      </c>
      <c r="B2" s="7" t="s">
        <v>20</v>
      </c>
      <c r="C2" s="9">
        <v>3.78</v>
      </c>
      <c r="D2" s="8">
        <f>_xlfn.STDEV.S(C2:C4)</f>
        <v>0.26627053911388682</v>
      </c>
      <c r="E2" s="7">
        <v>1</v>
      </c>
      <c r="F2" s="7" t="s">
        <v>21</v>
      </c>
      <c r="G2" s="7" t="s">
        <v>22</v>
      </c>
      <c r="H2" s="7" t="s">
        <v>23</v>
      </c>
      <c r="I2" s="7" t="s">
        <v>10</v>
      </c>
      <c r="J2" s="2"/>
    </row>
    <row r="3" spans="1:11" x14ac:dyDescent="0.2">
      <c r="A3" s="7" t="s">
        <v>19</v>
      </c>
      <c r="B3" s="7" t="s">
        <v>20</v>
      </c>
      <c r="C3" s="9">
        <v>3.47</v>
      </c>
      <c r="D3" s="8">
        <v>0.27</v>
      </c>
      <c r="E3" s="7">
        <v>2</v>
      </c>
      <c r="F3" s="7" t="s">
        <v>21</v>
      </c>
      <c r="G3" s="7" t="s">
        <v>22</v>
      </c>
      <c r="H3" s="7" t="s">
        <v>23</v>
      </c>
      <c r="I3" s="7" t="s">
        <v>10</v>
      </c>
      <c r="J3" s="2"/>
    </row>
    <row r="4" spans="1:11" x14ac:dyDescent="0.2">
      <c r="A4" s="7" t="s">
        <v>19</v>
      </c>
      <c r="B4" s="7" t="s">
        <v>20</v>
      </c>
      <c r="C4" s="9">
        <v>4</v>
      </c>
      <c r="D4" s="8">
        <v>0.27</v>
      </c>
      <c r="E4" s="7">
        <v>3</v>
      </c>
      <c r="F4" s="7" t="s">
        <v>21</v>
      </c>
      <c r="G4" s="7" t="s">
        <v>22</v>
      </c>
      <c r="H4" s="7" t="s">
        <v>23</v>
      </c>
      <c r="I4" s="7" t="s">
        <v>10</v>
      </c>
      <c r="J4" s="2"/>
    </row>
    <row r="5" spans="1:11" x14ac:dyDescent="0.2">
      <c r="A5" s="7" t="s">
        <v>24</v>
      </c>
      <c r="B5" s="7" t="s">
        <v>25</v>
      </c>
      <c r="C5" s="9">
        <v>5</v>
      </c>
      <c r="D5" s="8">
        <f>_xlfn.STDEV.S(C5:C7)</f>
        <v>1.0316168539401278</v>
      </c>
      <c r="E5" s="7">
        <v>1</v>
      </c>
      <c r="F5" s="7" t="s">
        <v>21</v>
      </c>
      <c r="G5" s="7" t="s">
        <v>22</v>
      </c>
      <c r="H5" s="7" t="s">
        <v>26</v>
      </c>
      <c r="I5" s="7" t="s">
        <v>10</v>
      </c>
      <c r="J5" s="2"/>
    </row>
    <row r="6" spans="1:11" x14ac:dyDescent="0.2">
      <c r="A6" s="7" t="s">
        <v>24</v>
      </c>
      <c r="B6" s="7" t="s">
        <v>25</v>
      </c>
      <c r="C6" s="9">
        <v>3.31</v>
      </c>
      <c r="D6" s="8">
        <v>1.03</v>
      </c>
      <c r="E6" s="7">
        <v>2</v>
      </c>
      <c r="F6" s="7" t="s">
        <v>21</v>
      </c>
      <c r="G6" s="7" t="s">
        <v>22</v>
      </c>
      <c r="H6" s="7" t="s">
        <v>26</v>
      </c>
      <c r="I6" s="7" t="s">
        <v>10</v>
      </c>
      <c r="J6" s="2"/>
    </row>
    <row r="7" spans="1:11" x14ac:dyDescent="0.2">
      <c r="A7" s="7" t="s">
        <v>24</v>
      </c>
      <c r="B7" s="7" t="s">
        <v>25</v>
      </c>
      <c r="C7" s="9">
        <v>3.13</v>
      </c>
      <c r="D7" s="8">
        <v>1.03</v>
      </c>
      <c r="E7" s="7">
        <v>3</v>
      </c>
      <c r="F7" s="7" t="s">
        <v>21</v>
      </c>
      <c r="G7" s="7" t="s">
        <v>22</v>
      </c>
      <c r="H7" s="7" t="s">
        <v>26</v>
      </c>
      <c r="I7" s="7" t="s">
        <v>10</v>
      </c>
      <c r="J7" s="2"/>
    </row>
    <row r="8" spans="1:11" x14ac:dyDescent="0.2">
      <c r="A8" s="7" t="s">
        <v>27</v>
      </c>
      <c r="B8" s="7" t="s">
        <v>28</v>
      </c>
      <c r="C8" s="9">
        <v>3.61</v>
      </c>
      <c r="D8" s="8">
        <f>_xlfn.STDEV.S(C8:C10)</f>
        <v>0.5686240703077271</v>
      </c>
      <c r="E8" s="7">
        <v>1</v>
      </c>
      <c r="F8" s="7" t="s">
        <v>28</v>
      </c>
      <c r="G8" s="7" t="s">
        <v>29</v>
      </c>
      <c r="H8" s="7" t="s">
        <v>53</v>
      </c>
      <c r="I8" s="7" t="s">
        <v>10</v>
      </c>
      <c r="J8" s="2"/>
    </row>
    <row r="9" spans="1:11" x14ac:dyDescent="0.2">
      <c r="A9" s="7" t="s">
        <v>27</v>
      </c>
      <c r="B9" s="7" t="s">
        <v>28</v>
      </c>
      <c r="C9" s="9">
        <v>4.71</v>
      </c>
      <c r="D9" s="8">
        <v>0.56999999999999995</v>
      </c>
      <c r="E9" s="7">
        <v>2</v>
      </c>
      <c r="F9" s="7" t="s">
        <v>28</v>
      </c>
      <c r="G9" s="7" t="s">
        <v>29</v>
      </c>
      <c r="H9" s="7" t="s">
        <v>53</v>
      </c>
      <c r="I9" s="7" t="s">
        <v>10</v>
      </c>
      <c r="J9" s="2"/>
    </row>
    <row r="10" spans="1:11" x14ac:dyDescent="0.2">
      <c r="A10" s="7" t="s">
        <v>27</v>
      </c>
      <c r="B10" s="7" t="s">
        <v>28</v>
      </c>
      <c r="C10" s="9">
        <v>4.41</v>
      </c>
      <c r="D10" s="8">
        <v>0.56999999999999995</v>
      </c>
      <c r="E10" s="7">
        <v>3</v>
      </c>
      <c r="F10" s="7" t="s">
        <v>28</v>
      </c>
      <c r="G10" s="7" t="s">
        <v>29</v>
      </c>
      <c r="H10" s="7" t="s">
        <v>53</v>
      </c>
      <c r="I10" s="7" t="s">
        <v>10</v>
      </c>
      <c r="J10" s="2"/>
    </row>
    <row r="11" spans="1:11" x14ac:dyDescent="0.2">
      <c r="A11" s="7" t="s">
        <v>30</v>
      </c>
      <c r="B11" s="7" t="s">
        <v>21</v>
      </c>
      <c r="C11" s="9">
        <v>3.78</v>
      </c>
      <c r="D11" s="8">
        <f>_xlfn.STDEV.S(C11:C13)</f>
        <v>0.26627053911388682</v>
      </c>
      <c r="E11" s="7">
        <v>1</v>
      </c>
      <c r="F11" s="7" t="s">
        <v>21</v>
      </c>
      <c r="G11" s="7" t="s">
        <v>29</v>
      </c>
      <c r="H11" s="7" t="s">
        <v>54</v>
      </c>
      <c r="I11" s="7" t="s">
        <v>10</v>
      </c>
      <c r="J11" s="2"/>
    </row>
    <row r="12" spans="1:11" x14ac:dyDescent="0.2">
      <c r="A12" s="7" t="s">
        <v>30</v>
      </c>
      <c r="B12" s="7" t="s">
        <v>21</v>
      </c>
      <c r="C12" s="9">
        <v>3.47</v>
      </c>
      <c r="D12" s="8">
        <v>0.27</v>
      </c>
      <c r="E12" s="7">
        <v>2</v>
      </c>
      <c r="F12" s="7" t="s">
        <v>21</v>
      </c>
      <c r="G12" s="7" t="s">
        <v>29</v>
      </c>
      <c r="H12" s="7" t="s">
        <v>54</v>
      </c>
      <c r="I12" s="7" t="s">
        <v>10</v>
      </c>
      <c r="J12" s="2"/>
    </row>
    <row r="13" spans="1:11" x14ac:dyDescent="0.2">
      <c r="A13" s="7" t="s">
        <v>30</v>
      </c>
      <c r="B13" s="7" t="s">
        <v>21</v>
      </c>
      <c r="C13" s="9">
        <v>4</v>
      </c>
      <c r="D13" s="8">
        <v>0.27</v>
      </c>
      <c r="E13" s="7">
        <v>3</v>
      </c>
      <c r="F13" s="7" t="s">
        <v>21</v>
      </c>
      <c r="G13" s="7" t="s">
        <v>29</v>
      </c>
      <c r="H13" s="7" t="s">
        <v>54</v>
      </c>
      <c r="I13" s="7" t="s">
        <v>10</v>
      </c>
      <c r="J13" s="2"/>
    </row>
    <row r="18" spans="1:12" customFormat="1" x14ac:dyDescent="0.2">
      <c r="A18" s="3"/>
      <c r="B18" s="3"/>
      <c r="C18" s="3"/>
      <c r="D18" s="3"/>
      <c r="E18" s="3"/>
      <c r="F18" s="3"/>
      <c r="G18" s="3"/>
      <c r="H18" s="3"/>
      <c r="I18" s="3"/>
      <c r="J18" s="4"/>
      <c r="L18" s="5"/>
    </row>
    <row r="19" spans="1:12" customFormat="1" x14ac:dyDescent="0.2">
      <c r="A19" s="3"/>
      <c r="B19" s="3"/>
      <c r="C19" s="3"/>
      <c r="D19" s="3"/>
      <c r="E19" s="3"/>
      <c r="F19" s="3"/>
      <c r="G19" s="3"/>
      <c r="H19" s="3"/>
      <c r="I19" s="3"/>
      <c r="J19" s="4"/>
      <c r="L19" s="5"/>
    </row>
    <row r="20" spans="1:12" customFormat="1" x14ac:dyDescent="0.2">
      <c r="A20" s="3"/>
      <c r="B20" s="3"/>
      <c r="C20" s="3"/>
      <c r="D20" s="3"/>
      <c r="E20" s="3"/>
      <c r="F20" s="3"/>
      <c r="G20" s="3"/>
      <c r="H20" s="3"/>
      <c r="I20" s="3"/>
      <c r="J20" s="4"/>
      <c r="L2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A9A2-4D7B-3949-A276-85DE30602B87}">
  <dimension ref="A1:L46"/>
  <sheetViews>
    <sheetView tabSelected="1" workbookViewId="0">
      <selection activeCell="B15" sqref="B15"/>
    </sheetView>
  </sheetViews>
  <sheetFormatPr baseColWidth="10" defaultRowHeight="16" x14ac:dyDescent="0.2"/>
  <cols>
    <col min="1" max="1" width="29.5" style="32" customWidth="1"/>
    <col min="2" max="2" width="32" style="32" customWidth="1"/>
    <col min="3" max="3" width="12" style="32" customWidth="1"/>
    <col min="4" max="4" width="13.6640625" style="32" customWidth="1"/>
    <col min="5" max="7" width="10.83203125" style="32"/>
    <col min="8" max="8" width="26.83203125" style="1" customWidth="1"/>
    <col min="9" max="16384" width="10.83203125" style="1"/>
  </cols>
  <sheetData>
    <row r="1" spans="1:12" customFormat="1" x14ac:dyDescent="0.2">
      <c r="A1" s="24" t="s">
        <v>0</v>
      </c>
      <c r="B1" s="24" t="s">
        <v>1</v>
      </c>
      <c r="C1" s="24" t="s">
        <v>3</v>
      </c>
      <c r="D1" s="25" t="s">
        <v>4</v>
      </c>
      <c r="E1" s="24" t="s">
        <v>5</v>
      </c>
      <c r="F1" s="24" t="s">
        <v>6</v>
      </c>
      <c r="G1" s="24" t="s">
        <v>16</v>
      </c>
      <c r="H1" s="1"/>
      <c r="I1" s="5"/>
      <c r="J1" s="5"/>
      <c r="K1" s="5"/>
      <c r="L1" s="5"/>
    </row>
    <row r="2" spans="1:12" x14ac:dyDescent="0.2">
      <c r="A2" s="26" t="s">
        <v>8</v>
      </c>
      <c r="B2" s="26" t="s">
        <v>10</v>
      </c>
      <c r="C2" s="26">
        <v>21.3</v>
      </c>
      <c r="D2" s="27">
        <f>STDEV(C2:C4)</f>
        <v>2.5423086620891189</v>
      </c>
      <c r="E2" s="28">
        <v>1</v>
      </c>
      <c r="F2" s="26" t="s">
        <v>7</v>
      </c>
      <c r="G2" s="26" t="s">
        <v>7</v>
      </c>
    </row>
    <row r="3" spans="1:12" x14ac:dyDescent="0.2">
      <c r="A3" s="26" t="s">
        <v>8</v>
      </c>
      <c r="B3" s="26" t="s">
        <v>10</v>
      </c>
      <c r="C3" s="26">
        <v>19.600000000000001</v>
      </c>
      <c r="D3" s="29">
        <v>2.54</v>
      </c>
      <c r="E3" s="28">
        <v>2</v>
      </c>
      <c r="F3" s="26" t="s">
        <v>7</v>
      </c>
      <c r="G3" s="26" t="s">
        <v>7</v>
      </c>
    </row>
    <row r="4" spans="1:12" x14ac:dyDescent="0.2">
      <c r="A4" s="26" t="s">
        <v>8</v>
      </c>
      <c r="B4" s="26" t="s">
        <v>10</v>
      </c>
      <c r="C4" s="26">
        <v>16.3</v>
      </c>
      <c r="D4" s="29">
        <v>2.54</v>
      </c>
      <c r="E4" s="28">
        <v>3</v>
      </c>
      <c r="F4" s="26" t="s">
        <v>7</v>
      </c>
      <c r="G4" s="26" t="s">
        <v>7</v>
      </c>
    </row>
    <row r="5" spans="1:12" x14ac:dyDescent="0.2">
      <c r="A5" s="26" t="s">
        <v>8</v>
      </c>
      <c r="B5" s="26" t="s">
        <v>15</v>
      </c>
      <c r="C5" s="26">
        <v>1</v>
      </c>
      <c r="D5" s="29">
        <f>STDEV(C5:C7)</f>
        <v>0</v>
      </c>
      <c r="E5" s="28">
        <v>1</v>
      </c>
      <c r="F5" s="26" t="s">
        <v>7</v>
      </c>
      <c r="G5" s="26" t="s">
        <v>7</v>
      </c>
    </row>
    <row r="6" spans="1:12" x14ac:dyDescent="0.2">
      <c r="A6" s="26" t="s">
        <v>8</v>
      </c>
      <c r="B6" s="26" t="s">
        <v>15</v>
      </c>
      <c r="C6" s="26">
        <v>1</v>
      </c>
      <c r="D6" s="29">
        <v>0</v>
      </c>
      <c r="E6" s="28">
        <v>2</v>
      </c>
      <c r="F6" s="26" t="s">
        <v>7</v>
      </c>
      <c r="G6" s="26" t="s">
        <v>7</v>
      </c>
    </row>
    <row r="7" spans="1:12" x14ac:dyDescent="0.2">
      <c r="A7" s="26" t="s">
        <v>8</v>
      </c>
      <c r="B7" s="26" t="s">
        <v>15</v>
      </c>
      <c r="C7" s="26">
        <v>1</v>
      </c>
      <c r="D7" s="29">
        <v>0</v>
      </c>
      <c r="E7" s="28">
        <v>3</v>
      </c>
      <c r="F7" s="26" t="s">
        <v>7</v>
      </c>
      <c r="G7" s="26" t="s">
        <v>7</v>
      </c>
    </row>
    <row r="8" spans="1:12" x14ac:dyDescent="0.2">
      <c r="A8" s="26" t="s">
        <v>8</v>
      </c>
      <c r="B8" s="26" t="s">
        <v>12</v>
      </c>
      <c r="C8" s="26">
        <v>634.1</v>
      </c>
      <c r="D8" s="27">
        <f>STDEV(C8:C10)</f>
        <v>154.88477437544768</v>
      </c>
      <c r="E8" s="28">
        <v>1</v>
      </c>
      <c r="F8" s="26" t="s">
        <v>7</v>
      </c>
      <c r="G8" s="26" t="s">
        <v>7</v>
      </c>
    </row>
    <row r="9" spans="1:12" x14ac:dyDescent="0.2">
      <c r="A9" s="26" t="s">
        <v>8</v>
      </c>
      <c r="B9" s="26" t="s">
        <v>12</v>
      </c>
      <c r="C9" s="26">
        <v>801.9</v>
      </c>
      <c r="D9" s="29">
        <v>154.88</v>
      </c>
      <c r="E9" s="28">
        <v>2</v>
      </c>
      <c r="F9" s="26" t="s">
        <v>7</v>
      </c>
      <c r="G9" s="26" t="s">
        <v>7</v>
      </c>
    </row>
    <row r="10" spans="1:12" x14ac:dyDescent="0.2">
      <c r="A10" s="26" t="s">
        <v>8</v>
      </c>
      <c r="B10" s="26" t="s">
        <v>12</v>
      </c>
      <c r="C10" s="26">
        <v>943.5</v>
      </c>
      <c r="D10" s="29">
        <v>154.88</v>
      </c>
      <c r="E10" s="28">
        <v>3</v>
      </c>
      <c r="F10" s="26" t="s">
        <v>7</v>
      </c>
      <c r="G10" s="26" t="s">
        <v>7</v>
      </c>
    </row>
    <row r="11" spans="1:12" x14ac:dyDescent="0.2">
      <c r="A11" s="26" t="s">
        <v>8</v>
      </c>
      <c r="B11" s="26" t="s">
        <v>14</v>
      </c>
      <c r="C11" s="30">
        <f>(C8/C14)*1000000</f>
        <v>8.2184752490074224</v>
      </c>
      <c r="D11" s="27">
        <f>STDEV(C11:C13)</f>
        <v>3.862694487538795</v>
      </c>
      <c r="E11" s="28">
        <v>1</v>
      </c>
      <c r="F11" s="26" t="s">
        <v>7</v>
      </c>
      <c r="G11" s="26" t="s">
        <v>7</v>
      </c>
    </row>
    <row r="12" spans="1:12" x14ac:dyDescent="0.2">
      <c r="A12" s="26" t="s">
        <v>8</v>
      </c>
      <c r="B12" s="26" t="s">
        <v>14</v>
      </c>
      <c r="C12" s="30">
        <f>(C9/C15)*1000000</f>
        <v>10.495179010270197</v>
      </c>
      <c r="D12" s="29">
        <v>3.86</v>
      </c>
      <c r="E12" s="28">
        <v>2</v>
      </c>
      <c r="F12" s="26" t="s">
        <v>7</v>
      </c>
      <c r="G12" s="26" t="s">
        <v>7</v>
      </c>
    </row>
    <row r="13" spans="1:12" x14ac:dyDescent="0.2">
      <c r="A13" s="26" t="s">
        <v>8</v>
      </c>
      <c r="B13" s="26" t="s">
        <v>14</v>
      </c>
      <c r="C13" s="30">
        <f>(C10/C16)*1000000</f>
        <v>15.750080690993682</v>
      </c>
      <c r="D13" s="29">
        <v>3.86</v>
      </c>
      <c r="E13" s="28">
        <v>3</v>
      </c>
      <c r="F13" s="26" t="s">
        <v>7</v>
      </c>
      <c r="G13" s="26" t="s">
        <v>7</v>
      </c>
    </row>
    <row r="14" spans="1:12" x14ac:dyDescent="0.2">
      <c r="A14" s="26" t="s">
        <v>8</v>
      </c>
      <c r="B14" s="26" t="s">
        <v>13</v>
      </c>
      <c r="C14" s="26">
        <v>77155431</v>
      </c>
      <c r="D14" s="27">
        <f>STDEV(C14:C16)</f>
        <v>9750853.5937444475</v>
      </c>
      <c r="E14" s="28">
        <v>1</v>
      </c>
      <c r="F14" s="26" t="s">
        <v>7</v>
      </c>
      <c r="G14" s="26" t="s">
        <v>7</v>
      </c>
    </row>
    <row r="15" spans="1:12" x14ac:dyDescent="0.2">
      <c r="A15" s="26" t="s">
        <v>8</v>
      </c>
      <c r="B15" s="26" t="s">
        <v>13</v>
      </c>
      <c r="C15" s="26">
        <v>76406510</v>
      </c>
      <c r="D15" s="27">
        <v>9750853.5937444475</v>
      </c>
      <c r="E15" s="28">
        <v>2</v>
      </c>
      <c r="F15" s="26" t="s">
        <v>7</v>
      </c>
      <c r="G15" s="26" t="s">
        <v>7</v>
      </c>
    </row>
    <row r="16" spans="1:12" x14ac:dyDescent="0.2">
      <c r="A16" s="26" t="s">
        <v>8</v>
      </c>
      <c r="B16" s="26" t="s">
        <v>13</v>
      </c>
      <c r="C16" s="26">
        <v>59904455</v>
      </c>
      <c r="D16" s="27">
        <v>9750853.5937444475</v>
      </c>
      <c r="E16" s="28">
        <v>3</v>
      </c>
      <c r="F16" s="26" t="s">
        <v>7</v>
      </c>
      <c r="G16" s="26" t="s">
        <v>7</v>
      </c>
    </row>
    <row r="17" spans="1:7" x14ac:dyDescent="0.2">
      <c r="A17" s="26" t="s">
        <v>8</v>
      </c>
      <c r="B17" s="26" t="s">
        <v>55</v>
      </c>
      <c r="C17" s="26">
        <v>4538049</v>
      </c>
      <c r="D17" s="27">
        <f>STDEV(C17:C19)</f>
        <v>2169900.8008976663</v>
      </c>
      <c r="E17" s="28">
        <v>1</v>
      </c>
      <c r="F17" s="26" t="s">
        <v>7</v>
      </c>
      <c r="G17" s="26" t="s">
        <v>7</v>
      </c>
    </row>
    <row r="18" spans="1:7" x14ac:dyDescent="0.2">
      <c r="A18" s="26" t="s">
        <v>8</v>
      </c>
      <c r="B18" s="26" t="s">
        <v>55</v>
      </c>
      <c r="C18" s="26">
        <v>783994</v>
      </c>
      <c r="D18" s="27">
        <v>2169900.8008976663</v>
      </c>
      <c r="E18" s="28">
        <v>2</v>
      </c>
      <c r="F18" s="26" t="s">
        <v>7</v>
      </c>
      <c r="G18" s="26" t="s">
        <v>7</v>
      </c>
    </row>
    <row r="19" spans="1:7" x14ac:dyDescent="0.2">
      <c r="A19" s="26" t="s">
        <v>8</v>
      </c>
      <c r="B19" s="26" t="s">
        <v>55</v>
      </c>
      <c r="C19" s="26">
        <v>775362</v>
      </c>
      <c r="D19" s="27">
        <v>2169900.8008976663</v>
      </c>
      <c r="E19" s="28">
        <v>3</v>
      </c>
      <c r="F19" s="26" t="s">
        <v>7</v>
      </c>
      <c r="G19" s="26" t="s">
        <v>7</v>
      </c>
    </row>
    <row r="20" spans="1:7" x14ac:dyDescent="0.2">
      <c r="A20" s="26" t="s">
        <v>8</v>
      </c>
      <c r="B20" s="26" t="s">
        <v>36</v>
      </c>
      <c r="C20" s="28">
        <v>160646.935</v>
      </c>
      <c r="D20" s="31">
        <f>STDEV(C20:C22)</f>
        <v>43534.014438555954</v>
      </c>
      <c r="E20" s="28">
        <v>1</v>
      </c>
      <c r="F20" s="26" t="s">
        <v>7</v>
      </c>
      <c r="G20" s="26" t="s">
        <v>7</v>
      </c>
    </row>
    <row r="21" spans="1:7" x14ac:dyDescent="0.2">
      <c r="A21" s="26" t="s">
        <v>8</v>
      </c>
      <c r="B21" s="26" t="s">
        <v>36</v>
      </c>
      <c r="C21" s="28">
        <v>82632.967600000004</v>
      </c>
      <c r="D21" s="27">
        <v>43534.014438555954</v>
      </c>
      <c r="E21" s="28">
        <v>2</v>
      </c>
      <c r="F21" s="26" t="s">
        <v>7</v>
      </c>
      <c r="G21" s="26" t="s">
        <v>7</v>
      </c>
    </row>
    <row r="22" spans="1:7" x14ac:dyDescent="0.2">
      <c r="A22" s="26" t="s">
        <v>8</v>
      </c>
      <c r="B22" s="26" t="s">
        <v>36</v>
      </c>
      <c r="C22" s="28">
        <v>88158.659400000004</v>
      </c>
      <c r="D22" s="27">
        <v>43534.014438555954</v>
      </c>
      <c r="E22" s="28">
        <v>3</v>
      </c>
      <c r="F22" s="26" t="s">
        <v>7</v>
      </c>
      <c r="G22" s="26" t="s">
        <v>7</v>
      </c>
    </row>
    <row r="23" spans="1:7" x14ac:dyDescent="0.2">
      <c r="A23" s="26" t="s">
        <v>8</v>
      </c>
      <c r="B23" s="26" t="s">
        <v>11</v>
      </c>
      <c r="C23" s="26">
        <f>C20/C17</f>
        <v>3.5400000088143604E-2</v>
      </c>
      <c r="D23" s="29">
        <f>STDEV(C23:C25)</f>
        <v>4.301120004110677E-2</v>
      </c>
      <c r="E23" s="28">
        <v>1</v>
      </c>
      <c r="F23" s="26" t="s">
        <v>7</v>
      </c>
      <c r="G23" s="26" t="s">
        <v>7</v>
      </c>
    </row>
    <row r="24" spans="1:7" x14ac:dyDescent="0.2">
      <c r="A24" s="26" t="s">
        <v>8</v>
      </c>
      <c r="B24" s="26" t="s">
        <v>11</v>
      </c>
      <c r="C24" s="26">
        <f>C21/C18</f>
        <v>0.10540000000000001</v>
      </c>
      <c r="D24" s="29">
        <v>4.301120004110677E-2</v>
      </c>
      <c r="E24" s="28">
        <v>2</v>
      </c>
      <c r="F24" s="26" t="s">
        <v>7</v>
      </c>
      <c r="G24" s="26" t="s">
        <v>7</v>
      </c>
    </row>
    <row r="25" spans="1:7" x14ac:dyDescent="0.2">
      <c r="A25" s="26" t="s">
        <v>8</v>
      </c>
      <c r="B25" s="26" t="s">
        <v>11</v>
      </c>
      <c r="C25" s="26">
        <f>C22/C19</f>
        <v>0.11370000000000001</v>
      </c>
      <c r="D25" s="29">
        <v>4.301120004110677E-2</v>
      </c>
      <c r="E25" s="28">
        <v>3</v>
      </c>
      <c r="F25" s="26" t="s">
        <v>7</v>
      </c>
      <c r="G25" s="26" t="s">
        <v>7</v>
      </c>
    </row>
    <row r="26" spans="1:7" x14ac:dyDescent="0.2">
      <c r="A26" s="26" t="s">
        <v>9</v>
      </c>
      <c r="B26" s="26" t="s">
        <v>10</v>
      </c>
      <c r="C26" s="26">
        <v>41.9</v>
      </c>
      <c r="D26" s="27">
        <f>STDEV(C26:C28)</f>
        <v>0.92915732431775933</v>
      </c>
      <c r="E26" s="28">
        <v>1</v>
      </c>
      <c r="F26" s="26" t="s">
        <v>2</v>
      </c>
      <c r="G26" s="26" t="s">
        <v>2</v>
      </c>
    </row>
    <row r="27" spans="1:7" x14ac:dyDescent="0.2">
      <c r="A27" s="26" t="s">
        <v>9</v>
      </c>
      <c r="B27" s="26" t="s">
        <v>10</v>
      </c>
      <c r="C27" s="26">
        <v>43.7</v>
      </c>
      <c r="D27" s="29">
        <v>0.93</v>
      </c>
      <c r="E27" s="28">
        <v>2</v>
      </c>
      <c r="F27" s="26" t="s">
        <v>2</v>
      </c>
      <c r="G27" s="26" t="s">
        <v>2</v>
      </c>
    </row>
    <row r="28" spans="1:7" x14ac:dyDescent="0.2">
      <c r="A28" s="26" t="s">
        <v>9</v>
      </c>
      <c r="B28" s="26" t="s">
        <v>10</v>
      </c>
      <c r="C28" s="26">
        <v>42.4</v>
      </c>
      <c r="D28" s="29">
        <v>0.93</v>
      </c>
      <c r="E28" s="28">
        <v>3</v>
      </c>
      <c r="F28" s="26" t="s">
        <v>2</v>
      </c>
      <c r="G28" s="26" t="s">
        <v>2</v>
      </c>
    </row>
    <row r="29" spans="1:7" x14ac:dyDescent="0.2">
      <c r="A29" s="26" t="s">
        <v>9</v>
      </c>
      <c r="B29" s="26" t="s">
        <v>15</v>
      </c>
      <c r="C29" s="26">
        <v>1</v>
      </c>
      <c r="D29" s="29">
        <f>STDEV(C29:C31)</f>
        <v>0</v>
      </c>
      <c r="E29" s="28">
        <v>1</v>
      </c>
      <c r="F29" s="26" t="s">
        <v>2</v>
      </c>
      <c r="G29" s="26" t="s">
        <v>2</v>
      </c>
    </row>
    <row r="30" spans="1:7" x14ac:dyDescent="0.2">
      <c r="A30" s="26" t="s">
        <v>9</v>
      </c>
      <c r="B30" s="26" t="s">
        <v>15</v>
      </c>
      <c r="C30" s="26">
        <v>1</v>
      </c>
      <c r="D30" s="29">
        <v>0</v>
      </c>
      <c r="E30" s="28">
        <v>2</v>
      </c>
      <c r="F30" s="26" t="s">
        <v>2</v>
      </c>
      <c r="G30" s="26" t="s">
        <v>2</v>
      </c>
    </row>
    <row r="31" spans="1:7" x14ac:dyDescent="0.2">
      <c r="A31" s="26" t="s">
        <v>9</v>
      </c>
      <c r="B31" s="26" t="s">
        <v>15</v>
      </c>
      <c r="C31" s="26">
        <v>1</v>
      </c>
      <c r="D31" s="29">
        <v>0</v>
      </c>
      <c r="E31" s="28">
        <v>3</v>
      </c>
      <c r="F31" s="26" t="s">
        <v>2</v>
      </c>
      <c r="G31" s="26" t="s">
        <v>2</v>
      </c>
    </row>
    <row r="32" spans="1:7" x14ac:dyDescent="0.2">
      <c r="A32" s="26" t="s">
        <v>9</v>
      </c>
      <c r="B32" s="26" t="s">
        <v>12</v>
      </c>
      <c r="C32" s="26">
        <v>67.8</v>
      </c>
      <c r="D32" s="27">
        <f>STDEV(C32:C34)</f>
        <v>0.51316014394468878</v>
      </c>
      <c r="E32" s="28">
        <v>1</v>
      </c>
      <c r="F32" s="26" t="s">
        <v>2</v>
      </c>
      <c r="G32" s="26" t="s">
        <v>2</v>
      </c>
    </row>
    <row r="33" spans="1:7" x14ac:dyDescent="0.2">
      <c r="A33" s="26" t="s">
        <v>9</v>
      </c>
      <c r="B33" s="26" t="s">
        <v>12</v>
      </c>
      <c r="C33" s="26">
        <v>68.5</v>
      </c>
      <c r="D33" s="29">
        <v>0.51</v>
      </c>
      <c r="E33" s="28">
        <v>2</v>
      </c>
      <c r="F33" s="26" t="s">
        <v>2</v>
      </c>
      <c r="G33" s="26" t="s">
        <v>2</v>
      </c>
    </row>
    <row r="34" spans="1:7" x14ac:dyDescent="0.2">
      <c r="A34" s="26" t="s">
        <v>9</v>
      </c>
      <c r="B34" s="26" t="s">
        <v>12</v>
      </c>
      <c r="C34" s="26">
        <v>67.5</v>
      </c>
      <c r="D34" s="29">
        <v>0.51</v>
      </c>
      <c r="E34" s="28">
        <v>3</v>
      </c>
      <c r="F34" s="26" t="s">
        <v>2</v>
      </c>
      <c r="G34" s="26" t="s">
        <v>2</v>
      </c>
    </row>
    <row r="35" spans="1:7" x14ac:dyDescent="0.2">
      <c r="A35" s="26" t="s">
        <v>9</v>
      </c>
      <c r="B35" s="26" t="s">
        <v>14</v>
      </c>
      <c r="C35" s="26">
        <f>(C32/C38)*1000000</f>
        <v>114.98482980379653</v>
      </c>
      <c r="D35" s="27">
        <f>STDEV(C35:C37)</f>
        <v>17.165718913008085</v>
      </c>
      <c r="E35" s="28">
        <v>1</v>
      </c>
      <c r="F35" s="26" t="s">
        <v>2</v>
      </c>
      <c r="G35" s="26" t="s">
        <v>2</v>
      </c>
    </row>
    <row r="36" spans="1:7" x14ac:dyDescent="0.2">
      <c r="A36" s="26" t="s">
        <v>9</v>
      </c>
      <c r="B36" s="26" t="s">
        <v>14</v>
      </c>
      <c r="C36" s="26">
        <f>(C33/C39)*1000000</f>
        <v>127.6518031516019</v>
      </c>
      <c r="D36" s="29">
        <v>17.170000000000002</v>
      </c>
      <c r="E36" s="28">
        <v>2</v>
      </c>
      <c r="F36" s="26" t="s">
        <v>2</v>
      </c>
      <c r="G36" s="26" t="s">
        <v>2</v>
      </c>
    </row>
    <row r="37" spans="1:7" x14ac:dyDescent="0.2">
      <c r="A37" s="26" t="s">
        <v>9</v>
      </c>
      <c r="B37" s="26" t="s">
        <v>14</v>
      </c>
      <c r="C37" s="26">
        <f>(C34/C40)*1000000</f>
        <v>93.684160853622316</v>
      </c>
      <c r="D37" s="29">
        <v>17.170000000000002</v>
      </c>
      <c r="E37" s="28">
        <v>3</v>
      </c>
      <c r="F37" s="26" t="s">
        <v>2</v>
      </c>
      <c r="G37" s="26" t="s">
        <v>2</v>
      </c>
    </row>
    <row r="38" spans="1:7" x14ac:dyDescent="0.2">
      <c r="A38" s="26" t="s">
        <v>9</v>
      </c>
      <c r="B38" s="26" t="s">
        <v>13</v>
      </c>
      <c r="C38" s="26">
        <v>589643</v>
      </c>
      <c r="D38" s="27">
        <f>STDEV(C38:C40)</f>
        <v>94650.690786350708</v>
      </c>
      <c r="E38" s="28">
        <v>1</v>
      </c>
      <c r="F38" s="26" t="s">
        <v>2</v>
      </c>
      <c r="G38" s="26" t="s">
        <v>2</v>
      </c>
    </row>
    <row r="39" spans="1:7" x14ac:dyDescent="0.2">
      <c r="A39" s="26" t="s">
        <v>9</v>
      </c>
      <c r="B39" s="26" t="s">
        <v>13</v>
      </c>
      <c r="C39" s="26">
        <v>536616</v>
      </c>
      <c r="D39" s="27">
        <v>94650.690786350708</v>
      </c>
      <c r="E39" s="28">
        <v>2</v>
      </c>
      <c r="F39" s="26" t="s">
        <v>2</v>
      </c>
      <c r="G39" s="26" t="s">
        <v>2</v>
      </c>
    </row>
    <row r="40" spans="1:7" x14ac:dyDescent="0.2">
      <c r="A40" s="26" t="s">
        <v>9</v>
      </c>
      <c r="B40" s="26" t="s">
        <v>13</v>
      </c>
      <c r="C40" s="26">
        <v>720506</v>
      </c>
      <c r="D40" s="27">
        <v>94650.690786350708</v>
      </c>
      <c r="E40" s="28">
        <v>3</v>
      </c>
      <c r="F40" s="26" t="s">
        <v>2</v>
      </c>
      <c r="G40" s="26" t="s">
        <v>2</v>
      </c>
    </row>
    <row r="41" spans="1:7" x14ac:dyDescent="0.2">
      <c r="A41" s="26" t="s">
        <v>9</v>
      </c>
      <c r="B41" s="26" t="s">
        <v>36</v>
      </c>
      <c r="C41" s="26">
        <v>405447</v>
      </c>
      <c r="D41" s="27">
        <f>STDEV(C41:C43)</f>
        <v>65272.313926605304</v>
      </c>
      <c r="E41" s="28">
        <v>1</v>
      </c>
      <c r="F41" s="26" t="s">
        <v>2</v>
      </c>
      <c r="G41" s="26" t="s">
        <v>2</v>
      </c>
    </row>
    <row r="42" spans="1:7" x14ac:dyDescent="0.2">
      <c r="A42" s="26" t="s">
        <v>9</v>
      </c>
      <c r="B42" s="26" t="s">
        <v>36</v>
      </c>
      <c r="C42" s="26">
        <v>414071</v>
      </c>
      <c r="D42" s="27">
        <v>65272.313926605304</v>
      </c>
      <c r="E42" s="28">
        <v>2</v>
      </c>
      <c r="F42" s="26" t="s">
        <v>2</v>
      </c>
      <c r="G42" s="26" t="s">
        <v>2</v>
      </c>
    </row>
    <row r="43" spans="1:7" x14ac:dyDescent="0.2">
      <c r="A43" s="26" t="s">
        <v>9</v>
      </c>
      <c r="B43" s="26" t="s">
        <v>36</v>
      </c>
      <c r="C43" s="26">
        <v>522567</v>
      </c>
      <c r="D43" s="27">
        <v>65272.313926605304</v>
      </c>
      <c r="E43" s="28">
        <v>3</v>
      </c>
      <c r="F43" s="26" t="s">
        <v>2</v>
      </c>
      <c r="G43" s="26" t="s">
        <v>2</v>
      </c>
    </row>
    <row r="44" spans="1:7" x14ac:dyDescent="0.2">
      <c r="A44" s="26" t="s">
        <v>9</v>
      </c>
      <c r="B44" s="26" t="s">
        <v>11</v>
      </c>
      <c r="C44" s="28">
        <f>(C41/C38)</f>
        <v>0.68761437005103088</v>
      </c>
      <c r="D44" s="27">
        <f>STDEV(C44:C46)</f>
        <v>4.2084550722741004E-2</v>
      </c>
      <c r="E44" s="28">
        <v>1</v>
      </c>
      <c r="F44" s="26" t="s">
        <v>2</v>
      </c>
      <c r="G44" s="26" t="s">
        <v>2</v>
      </c>
    </row>
    <row r="45" spans="1:7" x14ac:dyDescent="0.2">
      <c r="A45" s="26" t="s">
        <v>9</v>
      </c>
      <c r="B45" s="26" t="s">
        <v>11</v>
      </c>
      <c r="C45" s="28">
        <f>(C42/C39)</f>
        <v>0.77163371945674375</v>
      </c>
      <c r="D45" s="29">
        <v>0.04</v>
      </c>
      <c r="E45" s="28">
        <v>2</v>
      </c>
      <c r="F45" s="26" t="s">
        <v>2</v>
      </c>
      <c r="G45" s="26" t="s">
        <v>2</v>
      </c>
    </row>
    <row r="46" spans="1:7" x14ac:dyDescent="0.2">
      <c r="A46" s="26" t="s">
        <v>9</v>
      </c>
      <c r="B46" s="26" t="s">
        <v>11</v>
      </c>
      <c r="C46" s="28">
        <f>(C43/C40)</f>
        <v>0.72527779088584965</v>
      </c>
      <c r="D46" s="29">
        <v>0.04</v>
      </c>
      <c r="E46" s="28">
        <v>3</v>
      </c>
      <c r="F46" s="26" t="s">
        <v>2</v>
      </c>
      <c r="G46" s="26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4DA94-B843-D245-B61D-08B90162520B}">
  <dimension ref="A1:L43"/>
  <sheetViews>
    <sheetView topLeftCell="A4" workbookViewId="0">
      <selection activeCell="C14" sqref="C14:G16"/>
    </sheetView>
  </sheetViews>
  <sheetFormatPr baseColWidth="10" defaultRowHeight="16" x14ac:dyDescent="0.2"/>
  <cols>
    <col min="1" max="1" width="29.5" style="1" customWidth="1"/>
    <col min="2" max="2" width="22.6640625" style="1" customWidth="1"/>
    <col min="3" max="3" width="12" style="1" customWidth="1"/>
    <col min="4" max="4" width="13.6640625" style="1" customWidth="1"/>
    <col min="5" max="7" width="10.83203125" style="1"/>
    <col min="8" max="8" width="26.83203125" style="1" customWidth="1"/>
    <col min="9" max="16384" width="10.83203125" style="1"/>
  </cols>
  <sheetData>
    <row r="1" spans="1:12" customFormat="1" x14ac:dyDescent="0.2">
      <c r="A1" s="6" t="s">
        <v>0</v>
      </c>
      <c r="B1" s="6" t="s">
        <v>1</v>
      </c>
      <c r="C1" s="6" t="s">
        <v>3</v>
      </c>
      <c r="D1" s="14" t="s">
        <v>4</v>
      </c>
      <c r="E1" s="6" t="s">
        <v>5</v>
      </c>
      <c r="F1" s="6" t="s">
        <v>6</v>
      </c>
      <c r="G1" s="6" t="s">
        <v>16</v>
      </c>
      <c r="H1" s="1"/>
      <c r="I1" s="5"/>
      <c r="J1" s="5"/>
      <c r="K1" s="5"/>
      <c r="L1" s="5"/>
    </row>
    <row r="2" spans="1:12" x14ac:dyDescent="0.2">
      <c r="A2" s="18" t="s">
        <v>8</v>
      </c>
      <c r="B2" s="18" t="s">
        <v>10</v>
      </c>
      <c r="C2" s="18">
        <v>21.3</v>
      </c>
      <c r="D2" s="20">
        <f>STDEV(C2:C4)</f>
        <v>2.5423086620891189</v>
      </c>
      <c r="E2" s="21">
        <v>1</v>
      </c>
      <c r="F2" s="18" t="s">
        <v>7</v>
      </c>
      <c r="G2" s="18" t="s">
        <v>7</v>
      </c>
    </row>
    <row r="3" spans="1:12" x14ac:dyDescent="0.2">
      <c r="A3" s="18" t="s">
        <v>8</v>
      </c>
      <c r="B3" s="18" t="s">
        <v>10</v>
      </c>
      <c r="C3" s="18">
        <v>19.600000000000001</v>
      </c>
      <c r="D3" s="22">
        <v>2.54</v>
      </c>
      <c r="E3" s="21">
        <v>2</v>
      </c>
      <c r="F3" s="18" t="s">
        <v>7</v>
      </c>
      <c r="G3" s="18" t="s">
        <v>7</v>
      </c>
    </row>
    <row r="4" spans="1:12" x14ac:dyDescent="0.2">
      <c r="A4" s="18" t="s">
        <v>8</v>
      </c>
      <c r="B4" s="18" t="s">
        <v>10</v>
      </c>
      <c r="C4" s="18">
        <v>16.3</v>
      </c>
      <c r="D4" s="22">
        <v>2.54</v>
      </c>
      <c r="E4" s="21">
        <v>3</v>
      </c>
      <c r="F4" s="18" t="s">
        <v>7</v>
      </c>
      <c r="G4" s="18" t="s">
        <v>7</v>
      </c>
    </row>
    <row r="5" spans="1:12" x14ac:dyDescent="0.2">
      <c r="A5" s="18" t="s">
        <v>8</v>
      </c>
      <c r="B5" s="18" t="s">
        <v>15</v>
      </c>
      <c r="C5" s="18">
        <v>1</v>
      </c>
      <c r="D5" s="22">
        <f>STDEV(C5:C7)</f>
        <v>0</v>
      </c>
      <c r="E5" s="21">
        <v>1</v>
      </c>
      <c r="F5" s="18" t="s">
        <v>7</v>
      </c>
      <c r="G5" s="18" t="s">
        <v>7</v>
      </c>
    </row>
    <row r="6" spans="1:12" x14ac:dyDescent="0.2">
      <c r="A6" s="18" t="s">
        <v>8</v>
      </c>
      <c r="B6" s="18" t="s">
        <v>15</v>
      </c>
      <c r="C6" s="18">
        <v>1</v>
      </c>
      <c r="D6" s="22">
        <v>0</v>
      </c>
      <c r="E6" s="21">
        <v>2</v>
      </c>
      <c r="F6" s="18" t="s">
        <v>7</v>
      </c>
      <c r="G6" s="18" t="s">
        <v>7</v>
      </c>
    </row>
    <row r="7" spans="1:12" x14ac:dyDescent="0.2">
      <c r="A7" s="18" t="s">
        <v>8</v>
      </c>
      <c r="B7" s="18" t="s">
        <v>15</v>
      </c>
      <c r="C7" s="18">
        <v>1</v>
      </c>
      <c r="D7" s="22">
        <v>0</v>
      </c>
      <c r="E7" s="21">
        <v>3</v>
      </c>
      <c r="F7" s="18" t="s">
        <v>7</v>
      </c>
      <c r="G7" s="18" t="s">
        <v>7</v>
      </c>
    </row>
    <row r="8" spans="1:12" x14ac:dyDescent="0.2">
      <c r="A8" s="18" t="s">
        <v>8</v>
      </c>
      <c r="B8" s="18" t="s">
        <v>12</v>
      </c>
      <c r="C8" s="18">
        <v>634.1</v>
      </c>
      <c r="D8" s="20">
        <f>STDEV(C8:C10)</f>
        <v>154.88477437544768</v>
      </c>
      <c r="E8" s="21">
        <v>1</v>
      </c>
      <c r="F8" s="18" t="s">
        <v>7</v>
      </c>
      <c r="G8" s="18" t="s">
        <v>7</v>
      </c>
    </row>
    <row r="9" spans="1:12" x14ac:dyDescent="0.2">
      <c r="A9" s="18" t="s">
        <v>8</v>
      </c>
      <c r="B9" s="18" t="s">
        <v>12</v>
      </c>
      <c r="C9" s="18">
        <v>801.9</v>
      </c>
      <c r="D9" s="22">
        <v>154.88</v>
      </c>
      <c r="E9" s="21">
        <v>2</v>
      </c>
      <c r="F9" s="18" t="s">
        <v>7</v>
      </c>
      <c r="G9" s="18" t="s">
        <v>7</v>
      </c>
    </row>
    <row r="10" spans="1:12" x14ac:dyDescent="0.2">
      <c r="A10" s="18" t="s">
        <v>8</v>
      </c>
      <c r="B10" s="18" t="s">
        <v>12</v>
      </c>
      <c r="C10" s="18">
        <v>943.5</v>
      </c>
      <c r="D10" s="22">
        <v>154.88</v>
      </c>
      <c r="E10" s="21">
        <v>3</v>
      </c>
      <c r="F10" s="18" t="s">
        <v>7</v>
      </c>
      <c r="G10" s="18" t="s">
        <v>7</v>
      </c>
    </row>
    <row r="11" spans="1:12" x14ac:dyDescent="0.2">
      <c r="A11" s="18" t="s">
        <v>8</v>
      </c>
      <c r="B11" s="18" t="s">
        <v>14</v>
      </c>
      <c r="C11" s="18">
        <f>(C8/C14)*1000000</f>
        <v>8.2184752490074224</v>
      </c>
      <c r="D11" s="20">
        <f>STDEV(C11:C13)</f>
        <v>3.862694487538795</v>
      </c>
      <c r="E11" s="21">
        <v>1</v>
      </c>
      <c r="F11" s="18" t="s">
        <v>7</v>
      </c>
      <c r="G11" s="18" t="s">
        <v>7</v>
      </c>
    </row>
    <row r="12" spans="1:12" x14ac:dyDescent="0.2">
      <c r="A12" s="18" t="s">
        <v>8</v>
      </c>
      <c r="B12" s="18" t="s">
        <v>14</v>
      </c>
      <c r="C12" s="18">
        <f>(C9/C15)*1000000</f>
        <v>10.495179010270197</v>
      </c>
      <c r="D12" s="22">
        <v>3.86</v>
      </c>
      <c r="E12" s="21">
        <v>2</v>
      </c>
      <c r="F12" s="18" t="s">
        <v>7</v>
      </c>
      <c r="G12" s="18" t="s">
        <v>7</v>
      </c>
    </row>
    <row r="13" spans="1:12" x14ac:dyDescent="0.2">
      <c r="A13" s="18" t="s">
        <v>8</v>
      </c>
      <c r="B13" s="18" t="s">
        <v>14</v>
      </c>
      <c r="C13" s="18">
        <f>(C10/C16)*1000000</f>
        <v>15.750080690993682</v>
      </c>
      <c r="D13" s="22">
        <v>3.86</v>
      </c>
      <c r="E13" s="21">
        <v>3</v>
      </c>
      <c r="F13" s="18" t="s">
        <v>7</v>
      </c>
      <c r="G13" s="18" t="s">
        <v>7</v>
      </c>
    </row>
    <row r="14" spans="1:12" x14ac:dyDescent="0.2">
      <c r="A14" s="7" t="s">
        <v>8</v>
      </c>
      <c r="B14" s="7" t="s">
        <v>13</v>
      </c>
      <c r="C14" s="7">
        <v>77155431</v>
      </c>
      <c r="D14" s="15">
        <f>STDEV(C14:C16)</f>
        <v>9750853.5937444475</v>
      </c>
      <c r="E14" s="17">
        <v>1</v>
      </c>
      <c r="F14" s="7" t="s">
        <v>7</v>
      </c>
      <c r="G14" s="7" t="s">
        <v>7</v>
      </c>
    </row>
    <row r="15" spans="1:12" x14ac:dyDescent="0.2">
      <c r="A15" s="7" t="s">
        <v>8</v>
      </c>
      <c r="B15" s="7" t="s">
        <v>13</v>
      </c>
      <c r="C15" s="7">
        <v>76406510</v>
      </c>
      <c r="D15" s="15">
        <v>9750853.5937444475</v>
      </c>
      <c r="E15" s="17">
        <v>2</v>
      </c>
      <c r="F15" s="7" t="s">
        <v>7</v>
      </c>
      <c r="G15" s="7" t="s">
        <v>7</v>
      </c>
    </row>
    <row r="16" spans="1:12" x14ac:dyDescent="0.2">
      <c r="A16" s="7" t="s">
        <v>8</v>
      </c>
      <c r="B16" s="7" t="s">
        <v>13</v>
      </c>
      <c r="C16" s="7">
        <v>59904455</v>
      </c>
      <c r="D16" s="15">
        <v>9750853.5937444475</v>
      </c>
      <c r="E16" s="17">
        <v>3</v>
      </c>
      <c r="F16" s="7" t="s">
        <v>7</v>
      </c>
      <c r="G16" s="7" t="s">
        <v>7</v>
      </c>
    </row>
    <row r="17" spans="1:7" x14ac:dyDescent="0.2">
      <c r="A17" s="7" t="s">
        <v>8</v>
      </c>
      <c r="B17" s="7" t="s">
        <v>36</v>
      </c>
      <c r="C17" s="7">
        <v>175000</v>
      </c>
      <c r="D17" s="1">
        <f>STDEV(C17:C19)</f>
        <v>17265.871896123095</v>
      </c>
      <c r="E17" s="17">
        <v>1</v>
      </c>
      <c r="F17" s="7" t="s">
        <v>7</v>
      </c>
      <c r="G17" s="7" t="s">
        <v>7</v>
      </c>
    </row>
    <row r="18" spans="1:7" x14ac:dyDescent="0.2">
      <c r="A18" s="7" t="s">
        <v>8</v>
      </c>
      <c r="B18" s="7" t="s">
        <v>36</v>
      </c>
      <c r="C18" s="7">
        <v>170892</v>
      </c>
      <c r="D18" s="10">
        <v>17265.871896123095</v>
      </c>
      <c r="E18" s="17">
        <v>2</v>
      </c>
      <c r="F18" s="7" t="s">
        <v>7</v>
      </c>
      <c r="G18" s="7" t="s">
        <v>7</v>
      </c>
    </row>
    <row r="19" spans="1:7" x14ac:dyDescent="0.2">
      <c r="A19" s="7" t="s">
        <v>8</v>
      </c>
      <c r="B19" s="7" t="s">
        <v>36</v>
      </c>
      <c r="C19" s="7">
        <v>202639</v>
      </c>
      <c r="D19" s="10">
        <v>17265.871896123095</v>
      </c>
      <c r="E19" s="17">
        <v>3</v>
      </c>
      <c r="F19" s="7" t="s">
        <v>7</v>
      </c>
      <c r="G19" s="7" t="s">
        <v>7</v>
      </c>
    </row>
    <row r="20" spans="1:7" x14ac:dyDescent="0.2">
      <c r="A20" s="7" t="s">
        <v>8</v>
      </c>
      <c r="B20" s="7" t="s">
        <v>11</v>
      </c>
      <c r="C20" s="13">
        <f>C17/C14</f>
        <v>2.268148822861219E-3</v>
      </c>
      <c r="D20" s="16">
        <f>STDEV(C20:C22)</f>
        <v>6.5278161007155107E-4</v>
      </c>
      <c r="E20" s="17">
        <v>1</v>
      </c>
      <c r="F20" s="7" t="s">
        <v>7</v>
      </c>
      <c r="G20" s="7" t="s">
        <v>7</v>
      </c>
    </row>
    <row r="21" spans="1:7" x14ac:dyDescent="0.2">
      <c r="A21" s="7" t="s">
        <v>8</v>
      </c>
      <c r="B21" s="7" t="s">
        <v>11</v>
      </c>
      <c r="C21" s="13">
        <f>C18/C15</f>
        <v>2.2366157019866502E-3</v>
      </c>
      <c r="D21" s="16">
        <v>6.9999999999999999E-4</v>
      </c>
      <c r="E21" s="17">
        <v>2</v>
      </c>
      <c r="F21" s="7" t="s">
        <v>7</v>
      </c>
      <c r="G21" s="7" t="s">
        <v>7</v>
      </c>
    </row>
    <row r="22" spans="1:7" x14ac:dyDescent="0.2">
      <c r="A22" s="7" t="s">
        <v>8</v>
      </c>
      <c r="B22" s="7" t="s">
        <v>11</v>
      </c>
      <c r="C22" s="13">
        <f>C19/C16</f>
        <v>3.3827033398434224E-3</v>
      </c>
      <c r="D22" s="16">
        <v>6.9999999999999999E-4</v>
      </c>
      <c r="E22" s="17">
        <v>3</v>
      </c>
      <c r="F22" s="7" t="s">
        <v>7</v>
      </c>
      <c r="G22" s="7" t="s">
        <v>7</v>
      </c>
    </row>
    <row r="23" spans="1:7" x14ac:dyDescent="0.2">
      <c r="A23" s="18" t="s">
        <v>9</v>
      </c>
      <c r="B23" s="18" t="s">
        <v>10</v>
      </c>
      <c r="C23" s="18">
        <v>41.9</v>
      </c>
      <c r="D23" s="20">
        <f>STDEV(C23:C25)</f>
        <v>0.92915732431775933</v>
      </c>
      <c r="E23" s="21">
        <v>1</v>
      </c>
      <c r="F23" s="18" t="s">
        <v>2</v>
      </c>
      <c r="G23" s="18" t="s">
        <v>2</v>
      </c>
    </row>
    <row r="24" spans="1:7" x14ac:dyDescent="0.2">
      <c r="A24" s="18" t="s">
        <v>9</v>
      </c>
      <c r="B24" s="18" t="s">
        <v>10</v>
      </c>
      <c r="C24" s="18">
        <v>43.7</v>
      </c>
      <c r="D24" s="22">
        <v>0.93</v>
      </c>
      <c r="E24" s="21">
        <v>2</v>
      </c>
      <c r="F24" s="18" t="s">
        <v>2</v>
      </c>
      <c r="G24" s="18" t="s">
        <v>2</v>
      </c>
    </row>
    <row r="25" spans="1:7" x14ac:dyDescent="0.2">
      <c r="A25" s="18" t="s">
        <v>9</v>
      </c>
      <c r="B25" s="18" t="s">
        <v>10</v>
      </c>
      <c r="C25" s="18">
        <v>42.4</v>
      </c>
      <c r="D25" s="22">
        <v>0.93</v>
      </c>
      <c r="E25" s="21">
        <v>3</v>
      </c>
      <c r="F25" s="18" t="s">
        <v>2</v>
      </c>
      <c r="G25" s="18" t="s">
        <v>2</v>
      </c>
    </row>
    <row r="26" spans="1:7" x14ac:dyDescent="0.2">
      <c r="A26" s="18" t="s">
        <v>9</v>
      </c>
      <c r="B26" s="18" t="s">
        <v>15</v>
      </c>
      <c r="C26" s="18">
        <v>1</v>
      </c>
      <c r="D26" s="22">
        <f>STDEV(C26:C28)</f>
        <v>0</v>
      </c>
      <c r="E26" s="21">
        <v>1</v>
      </c>
      <c r="F26" s="18" t="s">
        <v>2</v>
      </c>
      <c r="G26" s="18" t="s">
        <v>2</v>
      </c>
    </row>
    <row r="27" spans="1:7" x14ac:dyDescent="0.2">
      <c r="A27" s="18" t="s">
        <v>9</v>
      </c>
      <c r="B27" s="18" t="s">
        <v>15</v>
      </c>
      <c r="C27" s="18">
        <v>1</v>
      </c>
      <c r="D27" s="22">
        <v>0</v>
      </c>
      <c r="E27" s="21">
        <v>2</v>
      </c>
      <c r="F27" s="18" t="s">
        <v>2</v>
      </c>
      <c r="G27" s="18" t="s">
        <v>2</v>
      </c>
    </row>
    <row r="28" spans="1:7" x14ac:dyDescent="0.2">
      <c r="A28" s="18" t="s">
        <v>9</v>
      </c>
      <c r="B28" s="18" t="s">
        <v>15</v>
      </c>
      <c r="C28" s="18">
        <v>1</v>
      </c>
      <c r="D28" s="22">
        <v>0</v>
      </c>
      <c r="E28" s="21">
        <v>3</v>
      </c>
      <c r="F28" s="18" t="s">
        <v>2</v>
      </c>
      <c r="G28" s="18" t="s">
        <v>2</v>
      </c>
    </row>
    <row r="29" spans="1:7" x14ac:dyDescent="0.2">
      <c r="A29" s="18" t="s">
        <v>9</v>
      </c>
      <c r="B29" s="18" t="s">
        <v>12</v>
      </c>
      <c r="C29" s="18">
        <v>67.8</v>
      </c>
      <c r="D29" s="20">
        <f>STDEV(C29:C31)</f>
        <v>0.51316014394468878</v>
      </c>
      <c r="E29" s="21">
        <v>1</v>
      </c>
      <c r="F29" s="18" t="s">
        <v>2</v>
      </c>
      <c r="G29" s="18" t="s">
        <v>2</v>
      </c>
    </row>
    <row r="30" spans="1:7" x14ac:dyDescent="0.2">
      <c r="A30" s="18" t="s">
        <v>9</v>
      </c>
      <c r="B30" s="18" t="s">
        <v>12</v>
      </c>
      <c r="C30" s="18">
        <v>68.5</v>
      </c>
      <c r="D30" s="22">
        <v>0.51</v>
      </c>
      <c r="E30" s="21">
        <v>2</v>
      </c>
      <c r="F30" s="18" t="s">
        <v>2</v>
      </c>
      <c r="G30" s="18" t="s">
        <v>2</v>
      </c>
    </row>
    <row r="31" spans="1:7" x14ac:dyDescent="0.2">
      <c r="A31" s="18" t="s">
        <v>9</v>
      </c>
      <c r="B31" s="18" t="s">
        <v>12</v>
      </c>
      <c r="C31" s="18">
        <v>67.5</v>
      </c>
      <c r="D31" s="22">
        <v>0.51</v>
      </c>
      <c r="E31" s="21">
        <v>3</v>
      </c>
      <c r="F31" s="18" t="s">
        <v>2</v>
      </c>
      <c r="G31" s="18" t="s">
        <v>2</v>
      </c>
    </row>
    <row r="32" spans="1:7" x14ac:dyDescent="0.2">
      <c r="A32" s="18" t="s">
        <v>9</v>
      </c>
      <c r="B32" s="18" t="s">
        <v>14</v>
      </c>
      <c r="C32" s="18">
        <f>(C29/C35)*1000000</f>
        <v>114.98482980379653</v>
      </c>
      <c r="D32" s="20">
        <f>STDEV(C32:C34)</f>
        <v>17.165718913008085</v>
      </c>
      <c r="E32" s="21">
        <v>1</v>
      </c>
      <c r="F32" s="18" t="s">
        <v>2</v>
      </c>
      <c r="G32" s="18" t="s">
        <v>2</v>
      </c>
    </row>
    <row r="33" spans="1:7" x14ac:dyDescent="0.2">
      <c r="A33" s="18" t="s">
        <v>9</v>
      </c>
      <c r="B33" s="18" t="s">
        <v>14</v>
      </c>
      <c r="C33" s="18">
        <f>(C30/C36)*1000000</f>
        <v>127.6518031516019</v>
      </c>
      <c r="D33" s="22">
        <v>17.170000000000002</v>
      </c>
      <c r="E33" s="21">
        <v>2</v>
      </c>
      <c r="F33" s="18" t="s">
        <v>2</v>
      </c>
      <c r="G33" s="18" t="s">
        <v>2</v>
      </c>
    </row>
    <row r="34" spans="1:7" x14ac:dyDescent="0.2">
      <c r="A34" s="18" t="s">
        <v>9</v>
      </c>
      <c r="B34" s="18" t="s">
        <v>14</v>
      </c>
      <c r="C34" s="18">
        <f>(C31/C37)*1000000</f>
        <v>93.684160853622316</v>
      </c>
      <c r="D34" s="22">
        <v>17.170000000000002</v>
      </c>
      <c r="E34" s="21">
        <v>3</v>
      </c>
      <c r="F34" s="18" t="s">
        <v>2</v>
      </c>
      <c r="G34" s="18" t="s">
        <v>2</v>
      </c>
    </row>
    <row r="35" spans="1:7" x14ac:dyDescent="0.2">
      <c r="A35" s="7" t="s">
        <v>9</v>
      </c>
      <c r="B35" s="7" t="s">
        <v>13</v>
      </c>
      <c r="C35" s="7">
        <v>589643</v>
      </c>
      <c r="D35" s="15">
        <f>STDEV(C35:C37)</f>
        <v>94650.690786350708</v>
      </c>
      <c r="E35" s="17">
        <v>1</v>
      </c>
      <c r="F35" s="7" t="s">
        <v>2</v>
      </c>
      <c r="G35" s="7" t="s">
        <v>2</v>
      </c>
    </row>
    <row r="36" spans="1:7" x14ac:dyDescent="0.2">
      <c r="A36" s="7" t="s">
        <v>9</v>
      </c>
      <c r="B36" s="7" t="s">
        <v>13</v>
      </c>
      <c r="C36" s="7">
        <v>536616</v>
      </c>
      <c r="D36" s="15">
        <v>94650.690786350708</v>
      </c>
      <c r="E36" s="17">
        <v>2</v>
      </c>
      <c r="F36" s="7" t="s">
        <v>2</v>
      </c>
      <c r="G36" s="7" t="s">
        <v>2</v>
      </c>
    </row>
    <row r="37" spans="1:7" x14ac:dyDescent="0.2">
      <c r="A37" s="7" t="s">
        <v>9</v>
      </c>
      <c r="B37" s="7" t="s">
        <v>13</v>
      </c>
      <c r="C37" s="7">
        <v>720506</v>
      </c>
      <c r="D37" s="15">
        <v>94650.690786350708</v>
      </c>
      <c r="E37" s="17">
        <v>3</v>
      </c>
      <c r="F37" s="7" t="s">
        <v>2</v>
      </c>
      <c r="G37" s="7" t="s">
        <v>2</v>
      </c>
    </row>
    <row r="38" spans="1:7" x14ac:dyDescent="0.2">
      <c r="A38" s="7" t="s">
        <v>9</v>
      </c>
      <c r="B38" s="7" t="s">
        <v>36</v>
      </c>
      <c r="C38" s="7">
        <v>405447</v>
      </c>
      <c r="D38" s="15">
        <f>STDEV(C38:C40)</f>
        <v>65272.313926605304</v>
      </c>
      <c r="E38" s="17">
        <v>1</v>
      </c>
      <c r="F38" s="7" t="s">
        <v>2</v>
      </c>
      <c r="G38" s="7" t="s">
        <v>2</v>
      </c>
    </row>
    <row r="39" spans="1:7" x14ac:dyDescent="0.2">
      <c r="A39" s="7" t="s">
        <v>9</v>
      </c>
      <c r="B39" s="7" t="s">
        <v>36</v>
      </c>
      <c r="C39" s="7">
        <v>414071</v>
      </c>
      <c r="D39" s="15">
        <v>65272.313926605304</v>
      </c>
      <c r="E39" s="17">
        <v>2</v>
      </c>
      <c r="F39" s="7" t="s">
        <v>2</v>
      </c>
      <c r="G39" s="7" t="s">
        <v>2</v>
      </c>
    </row>
    <row r="40" spans="1:7" x14ac:dyDescent="0.2">
      <c r="A40" s="7" t="s">
        <v>9</v>
      </c>
      <c r="B40" s="7" t="s">
        <v>36</v>
      </c>
      <c r="C40" s="7">
        <v>522567</v>
      </c>
      <c r="D40" s="15">
        <v>65272.313926605304</v>
      </c>
      <c r="E40" s="17">
        <v>3</v>
      </c>
      <c r="F40" s="7" t="s">
        <v>2</v>
      </c>
      <c r="G40" s="7" t="s">
        <v>2</v>
      </c>
    </row>
    <row r="41" spans="1:7" x14ac:dyDescent="0.2">
      <c r="A41" s="7" t="s">
        <v>9</v>
      </c>
      <c r="B41" s="7" t="s">
        <v>11</v>
      </c>
      <c r="C41" s="7">
        <f>(C38/C35)</f>
        <v>0.68761437005103088</v>
      </c>
      <c r="D41" s="15">
        <f>STDEV(C41:C43)</f>
        <v>4.2084550722741004E-2</v>
      </c>
      <c r="E41" s="17">
        <v>1</v>
      </c>
      <c r="F41" s="7" t="s">
        <v>2</v>
      </c>
      <c r="G41" s="7" t="s">
        <v>2</v>
      </c>
    </row>
    <row r="42" spans="1:7" x14ac:dyDescent="0.2">
      <c r="A42" s="7" t="s">
        <v>9</v>
      </c>
      <c r="B42" s="7" t="s">
        <v>11</v>
      </c>
      <c r="C42" s="7">
        <f>(C39/C36)</f>
        <v>0.77163371945674375</v>
      </c>
      <c r="D42" s="10">
        <v>0.04</v>
      </c>
      <c r="E42" s="17">
        <v>2</v>
      </c>
      <c r="F42" s="7" t="s">
        <v>2</v>
      </c>
      <c r="G42" s="7" t="s">
        <v>2</v>
      </c>
    </row>
    <row r="43" spans="1:7" x14ac:dyDescent="0.2">
      <c r="A43" s="7" t="s">
        <v>9</v>
      </c>
      <c r="B43" s="7" t="s">
        <v>11</v>
      </c>
      <c r="C43" s="7">
        <f>(C40/C37)</f>
        <v>0.72527779088584965</v>
      </c>
      <c r="D43" s="10">
        <v>0.04</v>
      </c>
      <c r="E43" s="17">
        <v>3</v>
      </c>
      <c r="F43" s="7" t="s">
        <v>2</v>
      </c>
      <c r="G43" s="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sample_prep_op_final</vt:lpstr>
      <vt:lpstr>lib_prep_op_final</vt:lpstr>
      <vt:lpstr>long_v_short_final</vt:lpstr>
      <vt:lpstr>long_v_short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Dunham,Tillie</dc:creator>
  <cp:lastModifiedBy>Dunham,Tillie</cp:lastModifiedBy>
  <dcterms:created xsi:type="dcterms:W3CDTF">2024-05-15T18:46:18Z</dcterms:created>
  <dcterms:modified xsi:type="dcterms:W3CDTF">2025-08-28T16:22:00Z</dcterms:modified>
</cp:coreProperties>
</file>